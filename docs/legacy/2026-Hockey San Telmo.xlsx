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lance 26" sheetId="1" r:id="rId5"/>
    <sheet state="visible" name="Resumen 3T" sheetId="2" r:id="rId6"/>
    <sheet state="visible" name="Caja especial" sheetId="3" r:id="rId7"/>
    <sheet state="visible" name="Gastos" sheetId="4" r:id="rId8"/>
    <sheet state="visible" name="3er Tiempo" sheetId="5" r:id="rId9"/>
    <sheet state="visible" name="Jugadoras" sheetId="6" r:id="rId10"/>
    <sheet state="visible" name="Colaboradores" sheetId="7" r:id="rId11"/>
    <sheet state="visible" name="Tipo Gastos" sheetId="8" r:id="rId12"/>
    <sheet state="visible" name="Tipo Ingresos" sheetId="9" r:id="rId13"/>
    <sheet state="visible" name="Categorias" sheetId="10" r:id="rId14"/>
  </sheets>
  <definedNames>
    <definedName hidden="1" localSheetId="3" name="_xlnm._FilterDatabase">Gastos!$A$1:$K$134</definedName>
    <definedName hidden="1" localSheetId="4" name="_xlnm._FilterDatabase">'3er Tiempo'!$A$2:$L$806</definedName>
    <definedName hidden="1" localSheetId="5" name="_xlnm._FilterDatabase">Jugadoras!$A$1:$F$92</definedName>
  </definedNames>
  <calcPr/>
  <pivotCaches>
    <pivotCache cacheId="0" r:id="rId15"/>
    <pivotCache cacheId="1" r:id="rId16"/>
    <pivotCache cacheId="2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tc={23aa5b5c-482a-4d8c-9d8d-f118b236636b}</author>
    <author>tc={26768c91-a808-41b4-9f9d-46a96dee5f2b}</author>
    <author>tc={2922a050-25dd-4b7c-9c16-0408212097ab}</author>
    <author>tc={8989d6e3-f595-4137-bc45-3501586a35c8}</author>
    <author>tc={de2f2a5f-05ef-4b67-83ad-2df1dd18457f}</author>
  </authors>
  <commentList>
    <comment authorId="0" xr:uid="{23aa5b5c-482a-4d8c-9d8d-f118b236636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Tengo comprobantes por $ 1.320.000 pero en planilla de Anabella solo hay $ 320.000
</t>
      </text>
    </comment>
    <comment authorId="1" xr:uid="{26768c91-a808-41b4-9f9d-46a96dee5f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número en rojo en planilla de PS
</t>
      </text>
    </comment>
    <comment authorId="2" xr:uid="{2922a050-25dd-4b7c-9c16-0408212097a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 número en rojo en planilla de PS
</t>
      </text>
    </comment>
    <comment authorId="3" xr:uid="{8989d6e3-f595-4137-bc45-3501586a35c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Verificar:
Gaby: 3 jugadoras=$90.000.
Anabella: $ 120.000
</t>
      </text>
    </comment>
    <comment authorId="4" xr:uid="{de2f2a5f-05ef-4b67-83ad-2df1dd18457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Verificar:
Gaby: 4 jugadoras=$120.000.
Anabella: $ 150.000
</t>
      </text>
    </comment>
  </commentList>
</comments>
</file>

<file path=xl/sharedStrings.xml><?xml version="1.0" encoding="utf-8"?>
<sst xmlns="http://schemas.openxmlformats.org/spreadsheetml/2006/main" count="4956" uniqueCount="340">
  <si>
    <t>Fecha</t>
  </si>
  <si>
    <t>Tipo</t>
  </si>
  <si>
    <t>Importe</t>
  </si>
  <si>
    <t>Cantidad</t>
  </si>
  <si>
    <t>Total</t>
  </si>
  <si>
    <t>Colaborador</t>
  </si>
  <si>
    <t>Comprobante</t>
  </si>
  <si>
    <t>Observaciones</t>
  </si>
  <si>
    <t>Verificado</t>
  </si>
  <si>
    <t>Totales</t>
  </si>
  <si>
    <t>Saldo Inicial</t>
  </si>
  <si>
    <t>Mes</t>
  </si>
  <si>
    <t>Año</t>
  </si>
  <si>
    <t>Traspaso 2025</t>
  </si>
  <si>
    <t>3er Tiempo + Sponsor</t>
  </si>
  <si>
    <t>Resumen</t>
  </si>
  <si>
    <t>Ingreso</t>
  </si>
  <si>
    <t>Egreso</t>
  </si>
  <si>
    <t>Cancha Chicago</t>
  </si>
  <si>
    <t>Saldo</t>
  </si>
  <si>
    <t>2025</t>
  </si>
  <si>
    <t>07 - julio</t>
  </si>
  <si>
    <t>11 - noviembre</t>
  </si>
  <si>
    <t>12 - diciembre</t>
  </si>
  <si>
    <t>Anabella - Coordinador</t>
  </si>
  <si>
    <t>Descripción</t>
  </si>
  <si>
    <t>link</t>
  </si>
  <si>
    <t>Responsable</t>
  </si>
  <si>
    <t>Observación</t>
  </si>
  <si>
    <t>tiene fecha 14/2/2026</t>
  </si>
  <si>
    <t>Bingo 1 2025 Saldo</t>
  </si>
  <si>
    <t>Malena</t>
  </si>
  <si>
    <t>Caja especial</t>
  </si>
  <si>
    <t>Rifa 2025 Saldo</t>
  </si>
  <si>
    <t>Botiquín</t>
  </si>
  <si>
    <t>Bingo 2 2025 Saldo</t>
  </si>
  <si>
    <t>03 - marzo</t>
  </si>
  <si>
    <t>Fiesta- Mesas y sillas</t>
  </si>
  <si>
    <t>Sede</t>
  </si>
  <si>
    <t>Ingresos</t>
  </si>
  <si>
    <t>Sponsor</t>
  </si>
  <si>
    <t>Fiesta - Pago de silla rota</t>
  </si>
  <si>
    <t>Tercer Tiempo</t>
  </si>
  <si>
    <t>04 - abril</t>
  </si>
  <si>
    <t>Árbitro 1</t>
  </si>
  <si>
    <t>Fiesta - 2 sillas rotas</t>
  </si>
  <si>
    <t>05 - mayo</t>
  </si>
  <si>
    <t>Fiesta - Bebida</t>
  </si>
  <si>
    <t>Árbitro 2</t>
  </si>
  <si>
    <t>Fiesta - Carbón y otros</t>
  </si>
  <si>
    <t>Total por Categoria</t>
  </si>
  <si>
    <t>Categoria</t>
  </si>
  <si>
    <t>Nombre y Apellido</t>
  </si>
  <si>
    <t>02 - febrero</t>
  </si>
  <si>
    <t>06 - junio</t>
  </si>
  <si>
    <t>08 - agosto</t>
  </si>
  <si>
    <t>09 - septiembre</t>
  </si>
  <si>
    <t>10 - octubre</t>
  </si>
  <si>
    <t>Suma total</t>
  </si>
  <si>
    <t>Fiesta - Decoración y vasos</t>
  </si>
  <si>
    <t>Médico</t>
  </si>
  <si>
    <t>Fiesta - Mesas 29/11 (anticipo 50%)</t>
  </si>
  <si>
    <t>Mensual por categoria</t>
  </si>
  <si>
    <t>Estado</t>
  </si>
  <si>
    <t>5ta</t>
  </si>
  <si>
    <t>Bananas</t>
  </si>
  <si>
    <t>Aguirre Aldana Maricela</t>
  </si>
  <si>
    <t>9na - Natalia Palladino</t>
  </si>
  <si>
    <t>Exento</t>
  </si>
  <si>
    <t>Pagado</t>
  </si>
  <si>
    <t>Pendiente</t>
  </si>
  <si>
    <t>Fiesta - Catering para jugadoras (seña)</t>
  </si>
  <si>
    <t>Ardiles Abril Lujan</t>
  </si>
  <si>
    <t>PS</t>
  </si>
  <si>
    <t>Candia Martina</t>
  </si>
  <si>
    <t>Castro Zoe Luján</t>
  </si>
  <si>
    <t>Cayo Karen Abril</t>
  </si>
  <si>
    <t>Aguas</t>
  </si>
  <si>
    <t>Diaz Aldana Morena</t>
  </si>
  <si>
    <t>Fiesta - Catering</t>
  </si>
  <si>
    <t>Liendo Calio Esmeralda</t>
  </si>
  <si>
    <t>Maciel Mc Cargo Lara Micaela Belen</t>
  </si>
  <si>
    <t>Maldonado Morena Martina</t>
  </si>
  <si>
    <t>Alfajores</t>
  </si>
  <si>
    <t>Fiesta - DJ</t>
  </si>
  <si>
    <t>Zalazar Sosa Zoe Mailen</t>
  </si>
  <si>
    <t>Total 5ta</t>
  </si>
  <si>
    <t>6ta</t>
  </si>
  <si>
    <t>Bonorino Camila</t>
  </si>
  <si>
    <t>Fiesta - Rolo</t>
  </si>
  <si>
    <t>Fiesta - Mesas y Sillas 29/11 (50% restante)</t>
  </si>
  <si>
    <t>Panchos</t>
  </si>
  <si>
    <t>Aderezos</t>
  </si>
  <si>
    <t>Canepa Martina Sofía</t>
  </si>
  <si>
    <t>Delpino Largosta Julieta Catalina</t>
  </si>
  <si>
    <t>Pecheras fin de año</t>
  </si>
  <si>
    <t>Fasolis Antonella Maxima</t>
  </si>
  <si>
    <t>Garcia Devasto Agostina</t>
  </si>
  <si>
    <t>Gonzalez Gonzalez Agostina</t>
  </si>
  <si>
    <t>Luna Zahira</t>
  </si>
  <si>
    <t>Mizrahi Merlo Victoria Belen</t>
  </si>
  <si>
    <t>Micros 3er T</t>
  </si>
  <si>
    <t>Montiel Nerea Yesmin</t>
  </si>
  <si>
    <t>Peralta Valentina Itatí</t>
  </si>
  <si>
    <t>Botellas</t>
  </si>
  <si>
    <t>Quiroz Valentina Ariana</t>
  </si>
  <si>
    <t>Quispe Luana Valentina</t>
  </si>
  <si>
    <t>Rodriguez Rocio Carolina</t>
  </si>
  <si>
    <t>Rojas Dalma Alahi</t>
  </si>
  <si>
    <t>Micros 4 y 11 de marzo</t>
  </si>
  <si>
    <t>Stopper Lara Alexia</t>
  </si>
  <si>
    <t>Total 6ta</t>
  </si>
  <si>
    <t>7ma</t>
  </si>
  <si>
    <t>Aguirre, Gianella</t>
  </si>
  <si>
    <t>Ahumada, Eva</t>
  </si>
  <si>
    <t>Placas, nombres, escudo</t>
  </si>
  <si>
    <t>Blanco, Emma</t>
  </si>
  <si>
    <t>Calivar, Keila</t>
  </si>
  <si>
    <t>Chavez, Isabella</t>
  </si>
  <si>
    <t>Colombain, Sofía</t>
  </si>
  <si>
    <t>Cosentino, Mercedes</t>
  </si>
  <si>
    <t>Diaz Campos, Emilia</t>
  </si>
  <si>
    <t>Dicundo, Morena</t>
  </si>
  <si>
    <t>Stampa escudo</t>
  </si>
  <si>
    <t>Gonzalez, Isabella</t>
  </si>
  <si>
    <t>Gratarola, Rocío</t>
  </si>
  <si>
    <t>Ensaladas</t>
  </si>
  <si>
    <t>Guevara, Felicitas</t>
  </si>
  <si>
    <t>Muñoz, Vera</t>
  </si>
  <si>
    <t>Compras - Bochas</t>
  </si>
  <si>
    <t>Prietto, Emma</t>
  </si>
  <si>
    <t>Rodriguez, Francesca</t>
  </si>
  <si>
    <t>Romado Dos Santos, Bianca</t>
  </si>
  <si>
    <t>Udobia Lopez, Victoria</t>
  </si>
  <si>
    <t>Total 7ma</t>
  </si>
  <si>
    <t>8va</t>
  </si>
  <si>
    <t>Aquino Aitana Abril</t>
  </si>
  <si>
    <t>Bellemans Morales Lucia</t>
  </si>
  <si>
    <t>Chavez Nuñez Taiana Rocio</t>
  </si>
  <si>
    <t>Compras - Conos</t>
  </si>
  <si>
    <t>Cigno Hurtado Martina</t>
  </si>
  <si>
    <t>Gomez Fonticelli Martina Zaira</t>
  </si>
  <si>
    <t>Gonzalez Gonzalez Mía Antonella</t>
  </si>
  <si>
    <t>Kravetz Olivia</t>
  </si>
  <si>
    <t>Roccasalvo Clementina Luz</t>
  </si>
  <si>
    <t>Salvatierra Mia</t>
  </si>
  <si>
    <t>Total 8va</t>
  </si>
  <si>
    <t>9na</t>
  </si>
  <si>
    <t>Agustina Domínguez</t>
  </si>
  <si>
    <t>Cuotas AHBA (Asociación)</t>
  </si>
  <si>
    <t>Amelie, Castro</t>
  </si>
  <si>
    <t>Anita, Urban</t>
  </si>
  <si>
    <t>Camila, Janecki</t>
  </si>
  <si>
    <t>Emilia Zeller Jones</t>
  </si>
  <si>
    <t>Fabiana, Bravo</t>
  </si>
  <si>
    <t>Franccesca, Stricagnola</t>
  </si>
  <si>
    <t>Juana, Orloff</t>
  </si>
  <si>
    <t>Otros</t>
  </si>
  <si>
    <t>Lupe Cáceres</t>
  </si>
  <si>
    <t>Maria, Duva</t>
  </si>
  <si>
    <t>Milagros Monzón</t>
  </si>
  <si>
    <t>Orquidea Liendo Calio</t>
  </si>
  <si>
    <t>Thais, Costa</t>
  </si>
  <si>
    <t>Vera Bonnassiolle</t>
  </si>
  <si>
    <t>Total 9na</t>
  </si>
  <si>
    <t>Agos</t>
  </si>
  <si>
    <t>Bri Landauro</t>
  </si>
  <si>
    <t>Cami Gantus</t>
  </si>
  <si>
    <t>Cata</t>
  </si>
  <si>
    <t>Colo</t>
  </si>
  <si>
    <t>Dulce</t>
  </si>
  <si>
    <t>Eve</t>
  </si>
  <si>
    <t>Guada P</t>
  </si>
  <si>
    <t>Isa</t>
  </si>
  <si>
    <t>Lau</t>
  </si>
  <si>
    <t>Lescano</t>
  </si>
  <si>
    <t>Luz</t>
  </si>
  <si>
    <t>Magui</t>
  </si>
  <si>
    <t>Total 08 - agosto</t>
  </si>
  <si>
    <t>Melu</t>
  </si>
  <si>
    <t>Mica</t>
  </si>
  <si>
    <t>Mile</t>
  </si>
  <si>
    <t>Nico</t>
  </si>
  <si>
    <t>Niki</t>
  </si>
  <si>
    <t>Paloma</t>
  </si>
  <si>
    <t>Pia</t>
  </si>
  <si>
    <t>Pieri</t>
  </si>
  <si>
    <t>Pili D</t>
  </si>
  <si>
    <t>Sofia Hanna Zajur</t>
  </si>
  <si>
    <t>Tati</t>
  </si>
  <si>
    <t>Valen</t>
  </si>
  <si>
    <t>Yami</t>
  </si>
  <si>
    <t>Total PS</t>
  </si>
  <si>
    <t>Asociación</t>
  </si>
  <si>
    <t>Fecha Pago</t>
  </si>
  <si>
    <t>Canal</t>
  </si>
  <si>
    <t>Control</t>
  </si>
  <si>
    <t>Obs</t>
  </si>
  <si>
    <t>145831530308</t>
  </si>
  <si>
    <t>Mercado Pago</t>
  </si>
  <si>
    <t>Natalia Palladino</t>
  </si>
  <si>
    <t>ID</t>
  </si>
  <si>
    <t>Motivo</t>
  </si>
  <si>
    <t>145829256727</t>
  </si>
  <si>
    <t>Activa</t>
  </si>
  <si>
    <t>144967612843</t>
  </si>
  <si>
    <t>Otro</t>
  </si>
  <si>
    <t>10ma</t>
  </si>
  <si>
    <t>Efectivo</t>
  </si>
  <si>
    <t>145780378956</t>
  </si>
  <si>
    <t>Esc</t>
  </si>
  <si>
    <t>14824949146715</t>
  </si>
  <si>
    <t>Consultar Anabella</t>
  </si>
  <si>
    <t>Total Ingresos</t>
  </si>
  <si>
    <t>Afajores</t>
  </si>
  <si>
    <t>Gastos</t>
  </si>
  <si>
    <t>Ordinarios</t>
  </si>
  <si>
    <t>30120976017260206</t>
  </si>
  <si>
    <t>BBVA</t>
  </si>
  <si>
    <t>150740911006</t>
  </si>
  <si>
    <t>149599659082</t>
  </si>
  <si>
    <t>149396057553</t>
  </si>
  <si>
    <t>Modo</t>
  </si>
  <si>
    <t>148238174455</t>
  </si>
  <si>
    <t>149995900013</t>
  </si>
  <si>
    <t>147826789879</t>
  </si>
  <si>
    <t>Anabella</t>
  </si>
  <si>
    <t>10095009011260317</t>
  </si>
  <si>
    <t>150734521828</t>
  </si>
  <si>
    <t>152752323833</t>
  </si>
  <si>
    <t>154796088750</t>
  </si>
  <si>
    <t>153660272856</t>
  </si>
  <si>
    <t>152851788910</t>
  </si>
  <si>
    <t>155596035924</t>
  </si>
  <si>
    <t>54246647660</t>
  </si>
  <si>
    <t>Baja</t>
  </si>
  <si>
    <t>155195260372</t>
  </si>
  <si>
    <t>153580836156</t>
  </si>
  <si>
    <t>15346836920</t>
  </si>
  <si>
    <t>1154419031260407</t>
  </si>
  <si>
    <t>154122792281</t>
  </si>
  <si>
    <t>70152362011260407</t>
  </si>
  <si>
    <t>152840004755</t>
  </si>
  <si>
    <t>70050620008260515</t>
  </si>
  <si>
    <t>Total Gastos</t>
  </si>
  <si>
    <t>Saldos</t>
  </si>
  <si>
    <t>Ingresos - Gastos</t>
  </si>
  <si>
    <t>158302758121</t>
  </si>
  <si>
    <t>Total c/ C. Especial</t>
  </si>
  <si>
    <t>Total s/ C. Especial</t>
  </si>
  <si>
    <t>158016517011</t>
  </si>
  <si>
    <t>157673246738</t>
  </si>
  <si>
    <t>159249413660</t>
  </si>
  <si>
    <t>158664816634</t>
  </si>
  <si>
    <t>158210258632</t>
  </si>
  <si>
    <t>159279857692</t>
  </si>
  <si>
    <t>156923029009</t>
  </si>
  <si>
    <t>70042886014260510</t>
  </si>
  <si>
    <t>Categoría</t>
  </si>
  <si>
    <t>Fecha Estado</t>
  </si>
  <si>
    <t xml:space="preserve">Cat + Col </t>
  </si>
  <si>
    <t>Coordinador</t>
  </si>
  <si>
    <t>Activo</t>
  </si>
  <si>
    <t>pancho + alfajor + ensalada</t>
  </si>
  <si>
    <t>159388127364</t>
  </si>
  <si>
    <t>3er Tiempo</t>
  </si>
  <si>
    <t>30074229012260506</t>
  </si>
  <si>
    <t>Gaby Agos</t>
  </si>
  <si>
    <t>Rosana Lavagnino</t>
  </si>
  <si>
    <t>Inactivo</t>
  </si>
  <si>
    <t>Norma Rivero</t>
  </si>
  <si>
    <t>156919275885</t>
  </si>
  <si>
    <t>*le transfirió a Naty y Naty a Ana</t>
  </si>
  <si>
    <t>Elena Molina</t>
  </si>
  <si>
    <t>Clarisa</t>
  </si>
  <si>
    <t>164892291964</t>
  </si>
  <si>
    <t>Fernanda Largosta</t>
  </si>
  <si>
    <t>Pablo Bellemans</t>
  </si>
  <si>
    <t>164388098830</t>
  </si>
  <si>
    <t>164075709087</t>
  </si>
  <si>
    <t>161208342227</t>
  </si>
  <si>
    <t>164346833828</t>
  </si>
  <si>
    <t>165816909114</t>
  </si>
  <si>
    <t>161747637611</t>
  </si>
  <si>
    <t>164605844540</t>
  </si>
  <si>
    <t>161373866067</t>
  </si>
  <si>
    <t>Donaciones</t>
  </si>
  <si>
    <t>30032847029260607</t>
  </si>
  <si>
    <t>171364860180</t>
  </si>
  <si>
    <t>Columna 1</t>
  </si>
  <si>
    <t>Primera</t>
  </si>
  <si>
    <t>10318301010260619</t>
  </si>
  <si>
    <t>Quinta</t>
  </si>
  <si>
    <t>Sexta</t>
  </si>
  <si>
    <t>Septima</t>
  </si>
  <si>
    <t>Octava</t>
  </si>
  <si>
    <t>Novena</t>
  </si>
  <si>
    <t>Decima</t>
  </si>
  <si>
    <t>Escuelita</t>
  </si>
  <si>
    <t>161953167676</t>
  </si>
  <si>
    <t>168106550633</t>
  </si>
  <si>
    <t>168849922891</t>
  </si>
  <si>
    <t>169829169162</t>
  </si>
  <si>
    <t>165963032245</t>
  </si>
  <si>
    <t>0070236430004013522415</t>
  </si>
  <si>
    <t>CA: Consultar</t>
  </si>
  <si>
    <t>167619582927</t>
  </si>
  <si>
    <t>Estuvo enferma Anabella indicó que no paga</t>
  </si>
  <si>
    <t>166583206183</t>
  </si>
  <si>
    <t>165865618127</t>
  </si>
  <si>
    <t>70125814012260714</t>
  </si>
  <si>
    <t>177375386173</t>
  </si>
  <si>
    <t>30019714016260716</t>
  </si>
  <si>
    <t>165677702971</t>
  </si>
  <si>
    <t>176670738826</t>
  </si>
  <si>
    <t>175605817344 - 175605795820</t>
  </si>
  <si>
    <t>176677670386</t>
  </si>
  <si>
    <t>171830288104</t>
  </si>
  <si>
    <t>176167436887</t>
  </si>
  <si>
    <t>181785364638</t>
  </si>
  <si>
    <t>171217368913</t>
  </si>
  <si>
    <t>171931974192</t>
  </si>
  <si>
    <t>30050972021260807</t>
  </si>
  <si>
    <t>Servilletas</t>
  </si>
  <si>
    <t>7006651814260811</t>
  </si>
  <si>
    <t>170534208193</t>
  </si>
  <si>
    <t>178742241237</t>
  </si>
  <si>
    <t>176662584536</t>
  </si>
  <si>
    <t>178438688364</t>
  </si>
  <si>
    <t>175845585039</t>
  </si>
  <si>
    <t>175901130571</t>
  </si>
  <si>
    <t>5010131427260903</t>
  </si>
  <si>
    <t>Pago sep / Oct</t>
  </si>
  <si>
    <t>30050551012260918</t>
  </si>
  <si>
    <t>Incluye pago de la hna</t>
  </si>
  <si>
    <t>Galicia</t>
  </si>
  <si>
    <t>Hipotecario</t>
  </si>
  <si>
    <t>Santander</t>
  </si>
  <si>
    <t>Lesión</t>
  </si>
  <si>
    <t>Anabella informó que pagaron en Efectivo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</si>
</sst>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&quot;$&quot;\ #,##0.00;[Red]\-&quot;$&quot;\ #,##0.00"/>
    <numFmt numFmtId="166" formatCode="&quot;$&quot;#,##0.00"/>
    <numFmt numFmtId="167" formatCode="_-&quot;$&quot;* #,##0_-;_-&quot;$&quot;* \-#,##0_-;_-&quot;$&quot;* &quot;-&quot;??_-;_-@"/>
  </numFmts>
  <fonts count="31">
    <font>
      <sz val="10.0"/>
      <color rgb="FF3F3F3F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color theme="1"/>
      <name val="Calibri"/>
      <scheme val="minor"/>
    </font>
    <font>
      <color rgb="FFFFFFFF"/>
      <name val="Calibri"/>
      <scheme val="minor"/>
    </font>
    <font>
      <u/>
      <color rgb="FF0000FF"/>
      <name val="Roboto"/>
    </font>
    <font>
      <b/>
      <sz val="11.0"/>
      <color theme="1"/>
      <name val="Calibri"/>
      <scheme val="minor"/>
    </font>
    <font>
      <sz val="10.0"/>
      <color theme="1"/>
      <name val="Calibri"/>
      <scheme val="minor"/>
    </font>
    <font>
      <color theme="1"/>
      <name val="Arial"/>
    </font>
    <font>
      <b/>
      <color theme="1"/>
      <name val="Roboto"/>
    </font>
    <font>
      <color rgb="FF434343"/>
      <name val="Roboto"/>
    </font>
    <font>
      <color rgb="FF0A53A8"/>
      <name val="Roboto"/>
    </font>
    <font>
      <color theme="1"/>
      <name val="Roboto"/>
    </font>
    <font>
      <color rgb="FF11734B"/>
      <name val="Roboto"/>
    </font>
    <font>
      <color rgb="FF5A3286"/>
      <name val="Roboto"/>
    </font>
    <font>
      <color rgb="FF434343"/>
      <name val="Arial"/>
    </font>
    <font>
      <color rgb="FF473821"/>
      <name val="Roboto"/>
    </font>
    <font>
      <sz val="12.0"/>
      <color rgb="FF595959"/>
      <name val="Calibri"/>
    </font>
    <font>
      <color rgb="FFB10202"/>
      <name val="Roboto"/>
    </font>
    <font>
      <sz val="11.0"/>
      <color theme="1"/>
      <name val="Calibri"/>
      <scheme val="minor"/>
    </font>
    <font>
      <u/>
      <color rgb="FF434343"/>
      <name val="Roboto"/>
    </font>
    <font>
      <u/>
      <color rgb="FF0000FF"/>
      <name val="Arial"/>
    </font>
    <font>
      <u/>
      <color rgb="FF434343"/>
      <name val="Roboto"/>
    </font>
    <font>
      <u/>
      <color rgb="FF0000FF"/>
      <name val="Arial"/>
    </font>
    <font>
      <color rgb="FF5A3286"/>
      <name val="Arial"/>
    </font>
    <font>
      <u/>
      <color rgb="FF0000FF"/>
      <name val="Arial"/>
    </font>
    <font>
      <color rgb="FF753800"/>
      <name val="Arial"/>
    </font>
    <font>
      <u/>
      <color rgb="FF0000FF"/>
      <name val="Arial"/>
    </font>
    <font>
      <u/>
      <color rgb="FF434343"/>
      <name val="Arial"/>
    </font>
    <font>
      <color rgb="FF0A53A8"/>
      <name val="Arial"/>
    </font>
    <font>
      <u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57C9C"/>
        <bgColor rgb="FF657C9C"/>
      </patternFill>
    </fill>
    <fill>
      <patternFill patternType="solid">
        <fgColor rgb="FF1B487C"/>
        <bgColor rgb="FF1B487C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DDEEF6"/>
        <bgColor rgb="FFDDEEF6"/>
      </patternFill>
    </fill>
    <fill>
      <patternFill patternType="solid">
        <fgColor rgb="FFF6F8F9"/>
        <bgColor rgb="FFF6F8F9"/>
      </patternFill>
    </fill>
  </fills>
  <borders count="21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</border>
    <border>
      <left style="thin">
        <color rgb="FFF6F8F9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6F8F9"/>
      </left>
      <right style="thin">
        <color rgb="FF284E3F"/>
      </right>
      <top style="thin">
        <color rgb="FFF6F8F9"/>
      </top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0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readingOrder="0"/>
    </xf>
    <xf borderId="0" fillId="0" fontId="1" numFmtId="165" xfId="0" applyFont="1" applyNumberFormat="1"/>
    <xf borderId="0" fillId="0" fontId="1" numFmtId="0" xfId="0" applyAlignment="1" applyFont="1">
      <alignment horizontal="left" readingOrder="0" shrinkToFit="0" wrapText="1"/>
    </xf>
    <xf borderId="0" fillId="0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3" fontId="4" numFmtId="0" xfId="0" applyAlignment="1" applyFill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wrapText="1"/>
    </xf>
    <xf borderId="0" fillId="0" fontId="1" numFmtId="166" xfId="0" applyFont="1" applyNumberFormat="1"/>
    <xf borderId="0" fillId="0" fontId="1" numFmtId="0" xfId="0" applyFont="1"/>
    <xf borderId="0" fillId="0" fontId="3" numFmtId="0" xfId="0" applyFont="1"/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165" xfId="0" applyFont="1" applyNumberFormat="1"/>
    <xf borderId="0" fillId="0" fontId="6" numFmtId="0" xfId="0" applyAlignment="1" applyFont="1">
      <alignment horizontal="center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1" numFmtId="0" xfId="0" applyFill="1" applyFont="1"/>
    <xf borderId="0" fillId="5" fontId="1" numFmtId="0" xfId="0" applyFill="1" applyFont="1"/>
    <xf borderId="0" fillId="5" fontId="3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0" fontId="1" numFmtId="166" xfId="0" applyAlignment="1" applyFont="1" applyNumberFormat="1">
      <alignment readingOrder="0"/>
    </xf>
    <xf borderId="0" fillId="0" fontId="3" numFmtId="166" xfId="0" applyFont="1" applyNumberFormat="1"/>
    <xf borderId="0" fillId="7" fontId="1" numFmtId="0" xfId="0" applyAlignment="1" applyFill="1" applyFont="1">
      <alignment readingOrder="0"/>
    </xf>
    <xf borderId="0" fillId="7" fontId="1" numFmtId="0" xfId="0" applyFill="1" applyFont="1"/>
    <xf borderId="0" fillId="0" fontId="7" numFmtId="0" xfId="0" applyFont="1"/>
    <xf borderId="0" fillId="0" fontId="7" numFmtId="0" xfId="0" applyFont="1"/>
    <xf borderId="0" fillId="0" fontId="1" numFmtId="49" xfId="0" applyFont="1" applyNumberFormat="1"/>
    <xf borderId="0" fillId="0" fontId="3" numFmtId="49" xfId="0" applyAlignment="1" applyFont="1" applyNumberFormat="1">
      <alignment horizontal="center"/>
    </xf>
    <xf borderId="0" fillId="0" fontId="1" numFmtId="0" xfId="0" applyAlignment="1" applyFont="1">
      <alignment shrinkToFit="0" vertical="center" wrapText="0"/>
    </xf>
    <xf borderId="0" fillId="0" fontId="1" numFmtId="167" xfId="0" applyFont="1" applyNumberFormat="1"/>
    <xf borderId="0" fillId="0" fontId="1" numFmtId="0" xfId="0" applyFont="1"/>
    <xf borderId="0" fillId="0" fontId="1" numFmtId="0" xfId="0" applyAlignment="1" applyFont="1">
      <alignment horizontal="right"/>
    </xf>
    <xf borderId="0" fillId="0" fontId="3" numFmtId="167" xfId="0" applyFont="1" applyNumberFormat="1"/>
    <xf borderId="0" fillId="0" fontId="1" numFmtId="49" xfId="0" applyFont="1" applyNumberFormat="1"/>
    <xf borderId="0" fillId="6" fontId="1" numFmtId="0" xfId="0" applyFill="1" applyFont="1"/>
    <xf borderId="0" fillId="0" fontId="1" numFmtId="10" xfId="0" applyFont="1" applyNumberForma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167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left" readingOrder="0" shrinkToFit="0" vertical="center" wrapText="0"/>
    </xf>
    <xf borderId="0" fillId="0" fontId="9" numFmtId="49" xfId="0" applyAlignment="1" applyFont="1" applyNumberFormat="1">
      <alignment horizontal="left" readingOrder="0" shrinkToFit="0" vertical="center" wrapText="0"/>
    </xf>
    <xf borderId="1" fillId="6" fontId="10" numFmtId="0" xfId="0" applyAlignment="1" applyBorder="1" applyFill="1" applyFont="1">
      <alignment shrinkToFit="0" vertical="center" wrapText="0"/>
    </xf>
    <xf borderId="2" fillId="6" fontId="11" numFmtId="0" xfId="0" applyAlignment="1" applyBorder="1" applyFill="1" applyFont="1">
      <alignment readingOrder="0" shrinkToFit="0" vertical="center" wrapText="0"/>
    </xf>
    <xf borderId="2" fillId="6" fontId="10" numFmtId="0" xfId="0" applyAlignment="1" applyBorder="1" applyFill="1" applyFont="1">
      <alignment horizontal="right" shrinkToFit="0" vertical="center" wrapText="0"/>
    </xf>
    <xf borderId="2" fillId="6" fontId="10" numFmtId="164" xfId="0" applyAlignment="1" applyBorder="1" applyFill="1" applyFont="1" applyNumberFormat="1">
      <alignment horizontal="right" shrinkToFit="0" vertical="center" wrapText="0"/>
    </xf>
    <xf borderId="2" fillId="6" fontId="10" numFmtId="49" xfId="0" applyAlignment="1" applyBorder="1" applyFill="1" applyFont="1" applyNumberFormat="1">
      <alignment shrinkToFit="0" vertical="center" wrapText="0"/>
    </xf>
    <xf borderId="2" fillId="6" fontId="11" numFmtId="0" xfId="0" applyAlignment="1" applyBorder="1" applyFill="1" applyFont="1">
      <alignment shrinkToFit="0" vertical="center" wrapText="0"/>
    </xf>
    <xf borderId="2" fillId="6" fontId="10" numFmtId="0" xfId="0" applyAlignment="1" applyBorder="1" applyFill="1" applyFont="1">
      <alignment shrinkToFit="0" vertical="center" wrapText="0"/>
    </xf>
    <xf borderId="3" fillId="6" fontId="8" numFmtId="49" xfId="0" applyAlignment="1" applyBorder="1" applyFill="1" applyFont="1" applyNumberFormat="1">
      <alignment shrinkToFit="0" vertical="center" wrapText="0"/>
    </xf>
    <xf borderId="4" fillId="8" fontId="10" numFmtId="0" xfId="0" applyAlignment="1" applyBorder="1" applyFill="1" applyFont="1">
      <alignment shrinkToFit="0" vertical="center" wrapText="0"/>
    </xf>
    <xf borderId="5" fillId="8" fontId="10" numFmtId="0" xfId="0" applyAlignment="1" applyBorder="1" applyFill="1" applyFont="1">
      <alignment horizontal="right" shrinkToFit="0" vertical="center" wrapText="0"/>
    </xf>
    <xf borderId="5" fillId="8" fontId="10" numFmtId="164" xfId="0" applyAlignment="1" applyBorder="1" applyFill="1" applyFont="1" applyNumberFormat="1">
      <alignment horizontal="right" shrinkToFit="0" vertical="center" wrapText="0"/>
    </xf>
    <xf borderId="5" fillId="8" fontId="10" numFmtId="49" xfId="0" applyAlignment="1" applyBorder="1" applyFill="1" applyFont="1" applyNumberFormat="1">
      <alignment shrinkToFit="0" vertical="center" wrapText="0"/>
    </xf>
    <xf borderId="1" fillId="6" fontId="10" numFmtId="0" xfId="0" applyAlignment="1" applyBorder="1" applyFill="1" applyFont="1">
      <alignment horizontal="right" shrinkToFit="0" vertical="center" wrapText="0"/>
    </xf>
    <xf borderId="5" fillId="8" fontId="11" numFmtId="0" xfId="0" applyAlignment="1" applyBorder="1" applyFill="1" applyFont="1">
      <alignment shrinkToFit="0" vertical="center" wrapText="0"/>
    </xf>
    <xf borderId="2" fillId="6" fontId="12" numFmtId="0" xfId="0" applyAlignment="1" applyBorder="1" applyFill="1" applyFont="1">
      <alignment readingOrder="0" shrinkToFit="0" vertical="center" wrapText="0"/>
    </xf>
    <xf borderId="5" fillId="8" fontId="10" numFmtId="0" xfId="0" applyAlignment="1" applyBorder="1" applyFill="1" applyFont="1">
      <alignment shrinkToFit="0" vertical="center" wrapText="0"/>
    </xf>
    <xf borderId="2" fillId="6" fontId="13" numFmtId="0" xfId="0" applyAlignment="1" applyBorder="1" applyFill="1" applyFont="1">
      <alignment shrinkToFit="0" vertical="center" wrapText="0"/>
    </xf>
    <xf borderId="0" fillId="0" fontId="8" numFmtId="164" xfId="0" applyAlignment="1" applyFont="1" applyNumberFormat="1">
      <alignment shrinkToFit="0" vertical="bottom" wrapText="0"/>
    </xf>
    <xf borderId="6" fillId="8" fontId="8" numFmtId="49" xfId="0" applyAlignment="1" applyBorder="1" applyFill="1" applyFont="1" applyNumberFormat="1">
      <alignment shrinkToFit="0" vertical="center" wrapText="0"/>
    </xf>
    <xf borderId="4" fillId="8" fontId="10" numFmtId="0" xfId="0" applyAlignment="1" applyBorder="1" applyFill="1" applyFont="1">
      <alignment horizontal="right" shrinkToFit="0" vertical="center" wrapText="0"/>
    </xf>
    <xf borderId="5" fillId="8" fontId="13" numFmtId="0" xfId="0" applyAlignment="1" applyBorder="1" applyFill="1" applyFont="1">
      <alignment shrinkToFit="0" vertical="center" wrapText="0"/>
    </xf>
    <xf borderId="5" fillId="8" fontId="8" numFmtId="164" xfId="0" applyAlignment="1" applyBorder="1" applyFill="1" applyFont="1" applyNumberFormat="1">
      <alignment shrinkToFit="0" vertical="center" wrapText="0"/>
    </xf>
    <xf borderId="5" fillId="8" fontId="8" numFmtId="49" xfId="0" applyAlignment="1" applyBorder="1" applyFill="1" applyFont="1" applyNumberFormat="1">
      <alignment shrinkToFit="0" vertical="center" wrapText="0"/>
    </xf>
    <xf borderId="5" fillId="8" fontId="14" numFmtId="0" xfId="0" applyAlignment="1" applyBorder="1" applyFill="1" applyFont="1">
      <alignment shrinkToFit="0" vertical="center" wrapText="0"/>
    </xf>
    <xf borderId="2" fillId="6" fontId="8" numFmtId="164" xfId="0" applyAlignment="1" applyBorder="1" applyFill="1" applyFont="1" applyNumberFormat="1">
      <alignment shrinkToFit="0" vertical="center" wrapText="0"/>
    </xf>
    <xf borderId="2" fillId="6" fontId="8" numFmtId="49" xfId="0" applyAlignment="1" applyBorder="1" applyFill="1" applyFont="1" applyNumberFormat="1">
      <alignment shrinkToFit="0" vertical="center" wrapText="0"/>
    </xf>
    <xf borderId="1" fillId="8" fontId="10" numFmtId="0" xfId="0" applyAlignment="1" applyBorder="1" applyFill="1" applyFont="1">
      <alignment horizontal="right" shrinkToFit="0" vertical="center" wrapText="0"/>
    </xf>
    <xf borderId="2" fillId="8" fontId="13" numFmtId="0" xfId="0" applyAlignment="1" applyBorder="1" applyFill="1" applyFont="1">
      <alignment shrinkToFit="0" vertical="center" wrapText="0"/>
    </xf>
    <xf borderId="5" fillId="8" fontId="8" numFmtId="0" xfId="0" applyAlignment="1" applyBorder="1" applyFill="1" applyFont="1">
      <alignment shrinkToFit="0" vertical="center" wrapText="0"/>
    </xf>
    <xf borderId="5" fillId="8" fontId="8" numFmtId="0" xfId="0" applyAlignment="1" applyBorder="1" applyFill="1" applyFont="1">
      <alignment shrinkToFit="0" vertical="center" wrapText="0"/>
    </xf>
    <xf borderId="6" fillId="8" fontId="15" numFmtId="49" xfId="0" applyAlignment="1" applyBorder="1" applyFill="1" applyFont="1" applyNumberFormat="1">
      <alignment shrinkToFit="0" vertical="center" wrapText="0"/>
    </xf>
    <xf borderId="2" fillId="6" fontId="8" numFmtId="0" xfId="0" applyAlignment="1" applyBorder="1" applyFill="1" applyFont="1">
      <alignment shrinkToFit="0" vertical="center" wrapText="0"/>
    </xf>
    <xf borderId="0" fillId="7" fontId="3" numFmtId="0" xfId="0" applyAlignment="1" applyFill="1" applyFont="1">
      <alignment readingOrder="0"/>
    </xf>
    <xf borderId="2" fillId="6" fontId="8" numFmtId="0" xfId="0" applyAlignment="1" applyBorder="1" applyFill="1" applyFont="1">
      <alignment shrinkToFit="0" vertical="center" wrapText="0"/>
    </xf>
    <xf borderId="2" fillId="6" fontId="14" numFmtId="0" xfId="0" applyAlignment="1" applyBorder="1" applyFill="1" applyFont="1">
      <alignment shrinkToFit="0" vertical="center" wrapText="0"/>
    </xf>
    <xf borderId="0" fillId="4" fontId="2" numFmtId="0" xfId="0" applyFill="1" applyFont="1"/>
    <xf borderId="0" fillId="6" fontId="1" numFmtId="0" xfId="0" applyAlignment="1" applyFill="1" applyFont="1">
      <alignment readingOrder="0"/>
    </xf>
    <xf borderId="3" fillId="6" fontId="15" numFmtId="49" xfId="0" applyAlignment="1" applyBorder="1" applyFill="1" applyFont="1" applyNumberFormat="1">
      <alignment shrinkToFit="0" vertical="center" wrapText="0"/>
    </xf>
    <xf borderId="0" fillId="0" fontId="1" numFmtId="166" xfId="0" applyFont="1" applyNumberFormat="1"/>
    <xf borderId="2" fillId="6" fontId="10" numFmtId="49" xfId="0" applyAlignment="1" applyBorder="1" applyFill="1" applyFont="1" applyNumberFormat="1">
      <alignment readingOrder="0" shrinkToFit="0" vertical="center" wrapText="0"/>
    </xf>
    <xf borderId="0" fillId="7" fontId="1" numFmtId="0" xfId="0" applyFill="1" applyFont="1"/>
    <xf borderId="7" fillId="8" fontId="10" numFmtId="0" xfId="0" applyAlignment="1" applyBorder="1" applyFill="1" applyFont="1">
      <alignment horizontal="right" shrinkToFit="0" vertical="center" wrapText="0"/>
    </xf>
    <xf borderId="8" fillId="8" fontId="10" numFmtId="49" xfId="0" applyAlignment="1" applyBorder="1" applyFill="1" applyFont="1" applyNumberFormat="1">
      <alignment shrinkToFit="0" vertical="center" wrapText="0"/>
    </xf>
    <xf borderId="9" fillId="6" fontId="12" numFmtId="0" xfId="0" applyAlignment="1" applyBorder="1" applyFill="1" applyFont="1">
      <alignment readingOrder="0" shrinkToFit="0" vertical="center" wrapText="0"/>
    </xf>
    <xf borderId="9" fillId="8" fontId="13" numFmtId="0" xfId="0" applyAlignment="1" applyBorder="1" applyFill="1" applyFont="1">
      <alignment shrinkToFit="0" vertical="center" wrapText="0"/>
    </xf>
    <xf borderId="10" fillId="8" fontId="8" numFmtId="49" xfId="0" applyAlignment="1" applyBorder="1" applyFill="1" applyFont="1" applyNumberFormat="1">
      <alignment shrinkToFit="0" vertical="center" wrapText="0"/>
    </xf>
    <xf borderId="0" fillId="8" fontId="10" numFmtId="0" xfId="0" applyAlignment="1" applyFill="1" applyFont="1">
      <alignment horizontal="right" shrinkToFit="0" vertical="center" wrapText="0"/>
    </xf>
    <xf borderId="0" fillId="6" fontId="10" numFmtId="49" xfId="0" applyAlignment="1" applyFill="1" applyFont="1" applyNumberFormat="1">
      <alignment shrinkToFit="0" vertical="center" wrapText="0"/>
    </xf>
    <xf borderId="0" fillId="6" fontId="12" numFmtId="0" xfId="0" applyAlignment="1" applyFill="1" applyFont="1">
      <alignment readingOrder="0" shrinkToFit="0" vertical="center" wrapText="0"/>
    </xf>
    <xf borderId="0" fillId="8" fontId="13" numFmtId="0" xfId="0" applyAlignment="1" applyFill="1" applyFont="1">
      <alignment shrinkToFit="0" vertical="center" wrapText="0"/>
    </xf>
    <xf borderId="0" fillId="8" fontId="8" numFmtId="49" xfId="0" applyAlignment="1" applyFill="1" applyFont="1" applyNumberFormat="1">
      <alignment shrinkToFit="0" vertical="center" wrapText="0"/>
    </xf>
    <xf borderId="11" fillId="8" fontId="10" numFmtId="49" xfId="0" applyAlignment="1" applyBorder="1" applyFill="1" applyFont="1" applyNumberFormat="1">
      <alignment shrinkToFit="0" vertical="center" wrapText="0"/>
    </xf>
    <xf borderId="12" fillId="8" fontId="13" numFmtId="0" xfId="0" applyAlignment="1" applyBorder="1" applyFill="1" applyFont="1">
      <alignment shrinkToFit="0" vertical="center" wrapText="0"/>
    </xf>
    <xf borderId="2" fillId="6" fontId="16" numFmtId="0" xfId="0" applyAlignment="1" applyBorder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3" fillId="0" fontId="17" numFmtId="0" xfId="0" applyAlignment="1" applyBorder="1" applyFont="1">
      <alignment horizontal="left" shrinkToFit="0" vertical="center" wrapText="0"/>
    </xf>
    <xf borderId="2" fillId="6" fontId="18" numFmtId="0" xfId="0" applyAlignment="1" applyBorder="1" applyFill="1" applyFont="1">
      <alignment shrinkToFit="0" vertical="center" wrapText="0"/>
    </xf>
    <xf borderId="0" fillId="0" fontId="8" numFmtId="164" xfId="0" applyAlignment="1" applyFont="1" applyNumberFormat="1">
      <alignment horizontal="center" readingOrder="0" shrinkToFit="0" vertical="center" wrapText="0"/>
    </xf>
    <xf borderId="9" fillId="6" fontId="10" numFmtId="49" xfId="0" applyAlignment="1" applyBorder="1" applyFill="1" applyFont="1" applyNumberFormat="1">
      <alignment shrinkToFit="0" vertical="center" wrapText="0"/>
    </xf>
    <xf borderId="0" fillId="0" fontId="6" numFmtId="0" xfId="0" applyAlignment="1" applyFont="1">
      <alignment readingOrder="0"/>
    </xf>
    <xf borderId="0" fillId="0" fontId="19" numFmtId="166" xfId="0" applyFont="1" applyNumberFormat="1"/>
    <xf borderId="14" fillId="8" fontId="10" numFmtId="49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5" fillId="8" fontId="8" numFmtId="0" xfId="0" applyAlignment="1" applyBorder="1" applyFill="1" applyFont="1">
      <alignment readingOrder="0" shrinkToFit="0" vertical="center" wrapText="0"/>
    </xf>
    <xf borderId="2" fillId="6" fontId="8" numFmtId="164" xfId="0" applyAlignment="1" applyBorder="1" applyFill="1" applyFont="1" applyNumberFormat="1">
      <alignment readingOrder="0" shrinkToFit="0" vertical="center" wrapText="0"/>
    </xf>
    <xf borderId="2" fillId="6" fontId="8" numFmtId="0" xfId="0" applyAlignment="1" applyBorder="1" applyFill="1" applyFont="1">
      <alignment readingOrder="0" shrinkToFit="0" vertical="center" wrapText="0"/>
    </xf>
    <xf borderId="2" fillId="6" fontId="16" numFmtId="0" xfId="0" applyAlignment="1" applyBorder="1" applyFill="1" applyFont="1">
      <alignment readingOrder="0" shrinkToFit="0" vertical="center" wrapText="0"/>
    </xf>
    <xf borderId="5" fillId="8" fontId="20" numFmtId="49" xfId="0" applyAlignment="1" applyBorder="1" applyFill="1" applyFont="1" applyNumberFormat="1">
      <alignment shrinkToFit="0" vertical="center" wrapText="0"/>
    </xf>
    <xf borderId="5" fillId="8" fontId="16" numFmtId="0" xfId="0" applyAlignment="1" applyBorder="1" applyFill="1" applyFont="1">
      <alignment shrinkToFit="0" vertical="center" wrapText="0"/>
    </xf>
    <xf borderId="5" fillId="8" fontId="8" numFmtId="164" xfId="0" applyAlignment="1" applyBorder="1" applyFill="1" applyFont="1" applyNumberFormat="1">
      <alignment readingOrder="0" shrinkToFit="0" vertical="center" wrapText="0"/>
    </xf>
    <xf borderId="5" fillId="8" fontId="21" numFmtId="49" xfId="0" applyAlignment="1" applyBorder="1" applyFill="1" applyFont="1" applyNumberFormat="1">
      <alignment readingOrder="0" shrinkToFit="0" vertical="center" wrapText="0"/>
    </xf>
    <xf borderId="5" fillId="8" fontId="8" numFmtId="0" xfId="0" applyAlignment="1" applyBorder="1" applyFill="1" applyFont="1">
      <alignment readingOrder="0" shrinkToFit="0" vertical="center" wrapText="0"/>
    </xf>
    <xf borderId="5" fillId="8" fontId="16" numFmtId="0" xfId="0" applyAlignment="1" applyBorder="1" applyFill="1" applyFont="1">
      <alignment readingOrder="0" shrinkToFit="0" vertical="center" wrapText="0"/>
    </xf>
    <xf borderId="2" fillId="6" fontId="22" numFmtId="49" xfId="0" applyAlignment="1" applyBorder="1" applyFill="1" applyFont="1" applyNumberFormat="1">
      <alignment shrinkToFit="0" vertical="center" wrapText="0"/>
    </xf>
    <xf borderId="15" fillId="6" fontId="10" numFmtId="0" xfId="0" applyAlignment="1" applyBorder="1" applyFill="1" applyFont="1">
      <alignment shrinkToFit="0" vertical="center" wrapText="0"/>
    </xf>
    <xf borderId="16" fillId="6" fontId="8" numFmtId="0" xfId="0" applyAlignment="1" applyBorder="1" applyFill="1" applyFont="1">
      <alignment shrinkToFit="0" vertical="center" wrapText="0"/>
    </xf>
    <xf borderId="16" fillId="6" fontId="10" numFmtId="164" xfId="0" applyAlignment="1" applyBorder="1" applyFill="1" applyFont="1" applyNumberFormat="1">
      <alignment horizontal="right" shrinkToFit="0" vertical="center" wrapText="0"/>
    </xf>
    <xf borderId="16" fillId="6" fontId="8" numFmtId="164" xfId="0" applyAlignment="1" applyBorder="1" applyFill="1" applyFont="1" applyNumberFormat="1">
      <alignment shrinkToFit="0" vertical="center" wrapText="0"/>
    </xf>
    <xf borderId="16" fillId="6" fontId="8" numFmtId="49" xfId="0" applyAlignment="1" applyBorder="1" applyFill="1" applyFont="1" applyNumberFormat="1">
      <alignment shrinkToFit="0" vertical="center" wrapText="0"/>
    </xf>
    <xf borderId="16" fillId="6" fontId="8" numFmtId="0" xfId="0" applyAlignment="1" applyBorder="1" applyFill="1" applyFont="1">
      <alignment shrinkToFit="0" vertical="center" wrapText="0"/>
    </xf>
    <xf borderId="16" fillId="6" fontId="14" numFmtId="0" xfId="0" applyAlignment="1" applyBorder="1" applyFill="1" applyFont="1">
      <alignment shrinkToFit="0" vertical="center" wrapText="0"/>
    </xf>
    <xf borderId="16" fillId="6" fontId="10" numFmtId="0" xfId="0" applyAlignment="1" applyBorder="1" applyFill="1" applyFont="1">
      <alignment shrinkToFit="0" vertical="center" wrapText="0"/>
    </xf>
    <xf borderId="16" fillId="6" fontId="10" numFmtId="49" xfId="0" applyAlignment="1" applyBorder="1" applyFill="1" applyFont="1" applyNumberFormat="1">
      <alignment shrinkToFit="0" vertical="center" wrapText="0"/>
    </xf>
    <xf borderId="17" fillId="6" fontId="8" numFmtId="49" xfId="0" applyAlignment="1" applyBorder="1" applyFill="1" applyFont="1" applyNumberFormat="1">
      <alignment shrinkToFit="0" vertical="center" wrapText="0"/>
    </xf>
    <xf borderId="2" fillId="6" fontId="10" numFmtId="0" xfId="0" applyAlignment="1" applyBorder="1" applyFill="1" applyFont="1">
      <alignment readingOrder="0" shrinkToFit="0" vertical="center" wrapText="0"/>
    </xf>
    <xf borderId="2" fillId="8" fontId="10" numFmtId="49" xfId="0" applyAlignment="1" applyBorder="1" applyFill="1" applyFont="1" applyNumberFormat="1">
      <alignment shrinkToFit="0" vertical="center" wrapText="0"/>
    </xf>
    <xf borderId="2" fillId="8" fontId="10" numFmtId="0" xfId="0" applyAlignment="1" applyBorder="1" applyFill="1" applyFont="1">
      <alignment shrinkToFit="0" vertical="center" wrapText="0"/>
    </xf>
    <xf borderId="5" fillId="6" fontId="10" numFmtId="0" xfId="0" applyAlignment="1" applyBorder="1" applyFill="1" applyFont="1">
      <alignment shrinkToFit="0" vertical="center" wrapText="0"/>
    </xf>
    <xf borderId="5" fillId="8" fontId="11" numFmtId="0" xfId="0" applyAlignment="1" applyBorder="1" applyFill="1" applyFont="1">
      <alignment readingOrder="0" shrinkToFit="0" vertical="center" wrapText="0"/>
    </xf>
    <xf borderId="6" fillId="8" fontId="23" numFmtId="49" xfId="0" applyAlignment="1" applyBorder="1" applyFill="1" applyFont="1" applyNumberFormat="1">
      <alignment readingOrder="0" shrinkToFit="0" vertical="center" wrapText="0"/>
    </xf>
    <xf borderId="5" fillId="8" fontId="10" numFmtId="164" xfId="0" applyAlignment="1" applyBorder="1" applyFill="1" applyFont="1" applyNumberFormat="1">
      <alignment horizontal="right" readingOrder="0" shrinkToFit="0" vertical="center" wrapText="0"/>
    </xf>
    <xf borderId="16" fillId="6" fontId="16" numFmtId="0" xfId="0" applyAlignment="1" applyBorder="1" applyFill="1" applyFont="1">
      <alignment shrinkToFit="0" vertical="center" wrapText="0"/>
    </xf>
    <xf borderId="2" fillId="6" fontId="15" numFmtId="0" xfId="0" applyAlignment="1" applyBorder="1" applyFill="1" applyFont="1">
      <alignment horizontal="right" shrinkToFit="0" vertical="center" wrapText="0"/>
    </xf>
    <xf borderId="2" fillId="6" fontId="24" numFmtId="0" xfId="0" applyAlignment="1" applyBorder="1" applyFill="1" applyFont="1">
      <alignment shrinkToFit="0" vertical="center" wrapText="0"/>
    </xf>
    <xf borderId="2" fillId="8" fontId="15" numFmtId="0" xfId="0" applyAlignment="1" applyBorder="1" applyFill="1" applyFont="1">
      <alignment horizontal="right" shrinkToFit="0" vertical="center" wrapText="0"/>
    </xf>
    <xf borderId="2" fillId="8" fontId="10" numFmtId="164" xfId="0" applyAlignment="1" applyBorder="1" applyFill="1" applyFont="1" applyNumberFormat="1">
      <alignment horizontal="right" shrinkToFit="0" vertical="center" wrapText="0"/>
    </xf>
    <xf borderId="2" fillId="8" fontId="24" numFmtId="0" xfId="0" applyAlignment="1" applyBorder="1" applyFill="1" applyFont="1">
      <alignment shrinkToFit="0" vertical="center" wrapText="0"/>
    </xf>
    <xf borderId="2" fillId="8" fontId="11" numFmtId="0" xfId="0" applyAlignment="1" applyBorder="1" applyFill="1" applyFont="1">
      <alignment shrinkToFit="0" vertical="center" wrapText="0"/>
    </xf>
    <xf borderId="2" fillId="8" fontId="11" numFmtId="0" xfId="0" applyAlignment="1" applyBorder="1" applyFill="1" applyFont="1">
      <alignment readingOrder="0" shrinkToFit="0" vertical="center" wrapText="0"/>
    </xf>
    <xf borderId="2" fillId="6" fontId="10" numFmtId="0" xfId="0" applyAlignment="1" applyBorder="1" applyFill="1" applyFont="1">
      <alignment readingOrder="0" shrinkToFit="0" vertical="center" wrapText="0"/>
    </xf>
    <xf borderId="5" fillId="6" fontId="8" numFmtId="49" xfId="0" applyAlignment="1" applyBorder="1" applyFill="1" applyFont="1" applyNumberFormat="1">
      <alignment shrinkToFit="0" vertical="center" wrapText="0"/>
    </xf>
    <xf borderId="2" fillId="8" fontId="8" numFmtId="49" xfId="0" applyAlignment="1" applyBorder="1" applyFill="1" applyFont="1" applyNumberFormat="1">
      <alignment shrinkToFit="0" vertical="center" wrapText="0"/>
    </xf>
    <xf borderId="4" fillId="6" fontId="10" numFmtId="0" xfId="0" applyAlignment="1" applyBorder="1" applyFill="1" applyFont="1">
      <alignment shrinkToFit="0" vertical="center" wrapText="0"/>
    </xf>
    <xf borderId="5" fillId="6" fontId="10" numFmtId="49" xfId="0" applyAlignment="1" applyBorder="1" applyFill="1" applyFont="1" applyNumberFormat="1">
      <alignment shrinkToFit="0" vertical="center" wrapText="0"/>
    </xf>
    <xf borderId="1" fillId="8" fontId="10" numFmtId="0" xfId="0" applyAlignment="1" applyBorder="1" applyFill="1" applyFont="1">
      <alignment shrinkToFit="0" vertical="center" wrapText="0"/>
    </xf>
    <xf borderId="2" fillId="8" fontId="10" numFmtId="0" xfId="0" applyAlignment="1" applyBorder="1" applyFill="1" applyFont="1">
      <alignment readingOrder="0" shrinkToFit="0" vertical="center" wrapText="0"/>
    </xf>
    <xf borderId="2" fillId="8" fontId="8" numFmtId="0" xfId="0" applyAlignment="1" applyBorder="1" applyFill="1" applyFont="1">
      <alignment readingOrder="0" shrinkToFit="0" vertical="center" wrapText="0"/>
    </xf>
    <xf borderId="2" fillId="8" fontId="8" numFmtId="164" xfId="0" applyAlignment="1" applyBorder="1" applyFill="1" applyFont="1" applyNumberFormat="1">
      <alignment readingOrder="0" shrinkToFit="0" vertical="center" wrapText="0"/>
    </xf>
    <xf borderId="2" fillId="8" fontId="25" numFmtId="49" xfId="0" applyAlignment="1" applyBorder="1" applyFill="1" applyFont="1" applyNumberFormat="1">
      <alignment readingOrder="0" shrinkToFit="0" vertical="center" wrapText="0"/>
    </xf>
    <xf borderId="2" fillId="6" fontId="26" numFmtId="0" xfId="0" applyAlignment="1" applyBorder="1" applyFill="1" applyFont="1">
      <alignment shrinkToFit="0" vertical="center" wrapText="0"/>
    </xf>
    <xf borderId="2" fillId="8" fontId="8" numFmtId="0" xfId="0" applyAlignment="1" applyBorder="1" applyFill="1" applyFont="1">
      <alignment shrinkToFit="0" vertical="center" wrapText="0"/>
    </xf>
    <xf borderId="2" fillId="8" fontId="8" numFmtId="164" xfId="0" applyAlignment="1" applyBorder="1" applyFill="1" applyFont="1" applyNumberFormat="1">
      <alignment shrinkToFit="0" vertical="center" wrapText="0"/>
    </xf>
    <xf borderId="5" fillId="6" fontId="27" numFmtId="49" xfId="0" applyAlignment="1" applyBorder="1" applyFill="1" applyFont="1" applyNumberFormat="1">
      <alignment readingOrder="0" shrinkToFit="0" vertical="center" wrapText="0"/>
    </xf>
    <xf borderId="2" fillId="6" fontId="28" numFmtId="49" xfId="0" applyAlignment="1" applyBorder="1" applyFill="1" applyFont="1" applyNumberFormat="1">
      <alignment shrinkToFit="0" vertical="center" wrapText="0"/>
    </xf>
    <xf borderId="2" fillId="6" fontId="29" numFmtId="0" xfId="0" applyAlignment="1" applyBorder="1" applyFill="1" applyFont="1">
      <alignment shrinkToFit="0" vertical="center" wrapText="0"/>
    </xf>
    <xf borderId="2" fillId="6" fontId="8" numFmtId="0" xfId="0" applyAlignment="1" applyBorder="1" applyFill="1" applyFont="1">
      <alignment readingOrder="0" shrinkToFit="0" vertical="center" wrapText="0"/>
    </xf>
    <xf borderId="2" fillId="6" fontId="30" numFmtId="49" xfId="0" applyAlignment="1" applyBorder="1" applyFill="1" applyFont="1" applyNumberFormat="1">
      <alignment readingOrder="0" shrinkToFit="0" vertical="center" wrapText="0"/>
    </xf>
    <xf borderId="5" fillId="6" fontId="8" numFmtId="0" xfId="0" applyAlignment="1" applyBorder="1" applyFill="1" applyFont="1">
      <alignment shrinkToFit="0" vertical="center" wrapText="0"/>
    </xf>
    <xf borderId="5" fillId="6" fontId="8" numFmtId="164" xfId="0" applyAlignment="1" applyBorder="1" applyFill="1" applyFont="1" applyNumberFormat="1">
      <alignment shrinkToFit="0" vertical="center" wrapText="0"/>
    </xf>
    <xf borderId="2" fillId="8" fontId="8" numFmtId="0" xfId="0" applyAlignment="1" applyBorder="1" applyFill="1" applyFont="1">
      <alignment shrinkToFit="0" vertical="center" wrapText="0"/>
    </xf>
    <xf borderId="2" fillId="8" fontId="16" numFmtId="0" xfId="0" applyAlignment="1" applyBorder="1" applyFill="1" applyFont="1">
      <alignment shrinkToFit="0" vertical="center" wrapText="0"/>
    </xf>
    <xf borderId="2" fillId="8" fontId="8" numFmtId="0" xfId="0" applyAlignment="1" applyBorder="1" applyFill="1" applyFont="1">
      <alignment readingOrder="0" shrinkToFit="0" vertical="center" wrapText="0"/>
    </xf>
    <xf borderId="2" fillId="8" fontId="16" numFmtId="0" xfId="0" applyAlignment="1" applyBorder="1" applyFill="1" applyFont="1">
      <alignment readingOrder="0" shrinkToFit="0" vertical="center" wrapText="0"/>
    </xf>
    <xf borderId="2" fillId="6" fontId="15" numFmtId="167" xfId="0" applyAlignment="1" applyBorder="1" applyFill="1" applyFont="1" applyNumberFormat="1">
      <alignment horizontal="right" shrinkToFit="0" vertical="center" wrapText="0"/>
    </xf>
    <xf borderId="2" fillId="8" fontId="15" numFmtId="167" xfId="0" applyAlignment="1" applyBorder="1" applyFill="1" applyFont="1" applyNumberFormat="1">
      <alignment horizontal="right" shrinkToFit="0" vertical="center" wrapText="0"/>
    </xf>
    <xf borderId="2" fillId="6" fontId="8" numFmtId="167" xfId="0" applyAlignment="1" applyBorder="1" applyFill="1" applyFont="1" applyNumberFormat="1">
      <alignment shrinkToFit="0" vertical="center" wrapText="0"/>
    </xf>
    <xf borderId="2" fillId="8" fontId="8" numFmtId="167" xfId="0" applyAlignment="1" applyBorder="1" applyFill="1" applyFont="1" applyNumberFormat="1">
      <alignment shrinkToFit="0" vertical="center" wrapText="0"/>
    </xf>
    <xf borderId="18" fillId="8" fontId="8" numFmtId="49" xfId="0" applyAlignment="1" applyBorder="1" applyFill="1" applyFont="1" applyNumberFormat="1">
      <alignment shrinkToFit="0" vertical="center" wrapText="0"/>
    </xf>
    <xf borderId="2" fillId="6" fontId="11" numFmtId="0" xfId="0" applyAlignment="1" applyBorder="1" applyFill="1" applyFont="1">
      <alignment shrinkToFit="0" vertical="center" wrapText="0"/>
    </xf>
    <xf borderId="2" fillId="6" fontId="10" numFmtId="0" xfId="0" applyAlignment="1" applyBorder="1" applyFill="1" applyFont="1">
      <alignment shrinkToFit="0" vertical="center" wrapText="0"/>
    </xf>
    <xf borderId="2" fillId="8" fontId="11" numFmtId="0" xfId="0" applyAlignment="1" applyBorder="1" applyFill="1" applyFont="1">
      <alignment shrinkToFit="0" vertical="center" wrapText="0"/>
    </xf>
    <xf borderId="2" fillId="8" fontId="10" numFmtId="0" xfId="0" applyAlignment="1" applyBorder="1" applyFill="1" applyFont="1">
      <alignment shrinkToFit="0" vertical="center" wrapText="0"/>
    </xf>
    <xf borderId="5" fillId="8" fontId="15" numFmtId="0" xfId="0" applyAlignment="1" applyBorder="1" applyFill="1" applyFont="1">
      <alignment horizontal="right" shrinkToFit="0" vertical="center" wrapText="0"/>
    </xf>
    <xf borderId="8" fillId="8" fontId="10" numFmtId="0" xfId="0" applyAlignment="1" applyBorder="1" applyFill="1" applyFont="1">
      <alignment shrinkToFit="0" vertical="center" wrapText="0"/>
    </xf>
    <xf borderId="19" fillId="6" fontId="11" numFmtId="0" xfId="0" applyAlignment="1" applyBorder="1" applyFill="1" applyFont="1">
      <alignment shrinkToFit="0" vertical="center" wrapText="0"/>
    </xf>
    <xf borderId="0" fillId="8" fontId="10" numFmtId="0" xfId="0" applyAlignment="1" applyFill="1" applyFont="1">
      <alignment shrinkToFit="0" vertical="center" wrapText="0"/>
    </xf>
    <xf borderId="19" fillId="8" fontId="11" numFmtId="0" xfId="0" applyAlignment="1" applyBorder="1" applyFill="1" applyFont="1">
      <alignment shrinkToFit="0" vertical="center" wrapText="0"/>
    </xf>
    <xf borderId="0" fillId="6" fontId="10" numFmtId="0" xfId="0" applyAlignment="1" applyFill="1" applyFont="1">
      <alignment shrinkToFit="0" vertical="center" wrapText="0"/>
    </xf>
    <xf borderId="12" fillId="6" fontId="10" numFmtId="0" xfId="0" applyAlignment="1" applyBorder="1" applyFill="1" applyFont="1">
      <alignment shrinkToFit="0" vertical="center" wrapText="0"/>
    </xf>
    <xf borderId="2" fillId="8" fontId="14" numFmtId="0" xfId="0" applyAlignment="1" applyBorder="1" applyFill="1" applyFont="1">
      <alignment shrinkToFit="0" vertical="center" wrapText="0"/>
    </xf>
    <xf borderId="6" fillId="8" fontId="8" numFmtId="49" xfId="0" applyAlignment="1" applyBorder="1" applyFill="1" applyFont="1" applyNumberFormat="1">
      <alignment readingOrder="0" shrinkToFit="0" vertical="center" wrapText="0"/>
    </xf>
    <xf borderId="20" fillId="8" fontId="10" numFmtId="0" xfId="0" applyAlignment="1" applyBorder="1" applyFill="1" applyFont="1">
      <alignment shrinkToFit="0" vertical="center" wrapText="0"/>
    </xf>
    <xf borderId="14" fillId="8" fontId="8" numFmtId="0" xfId="0" applyAlignment="1" applyBorder="1" applyFill="1" applyFont="1">
      <alignment shrinkToFit="0" vertical="center" wrapText="0"/>
    </xf>
    <xf borderId="14" fillId="8" fontId="8" numFmtId="49" xfId="0" applyAlignment="1" applyBorder="1" applyFill="1" applyFont="1" applyNumberFormat="1">
      <alignment shrinkToFit="0" vertical="center" wrapText="0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1B487C"/>
          <bgColor rgb="FF1B487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EEF6"/>
          <bgColor rgb="FFDDEEF6"/>
        </patternFill>
      </fill>
      <border/>
    </dxf>
    <dxf>
      <border>
        <left style="thin">
          <color rgb="FF1B487C"/>
        </left>
        <right style="thin">
          <color rgb="FF1B487C"/>
        </right>
        <top style="thin">
          <color rgb="FF1B487C"/>
        </top>
        <bottom style="thin">
          <color rgb="FF1B487C"/>
        </bottom>
      </border>
    </dxf>
    <dxf>
      <border>
        <left style="thin">
          <color rgb="FF1B487C"/>
        </left>
        <right style="thin">
          <color rgb="FF1B487C"/>
        </right>
        <top style="thin">
          <color rgb="FF1B487C"/>
        </top>
        <bottom style="thin">
          <color rgb="FF1B487C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12">
    <tableStyle count="3" pivot="0" name="Balance 26-style">
      <tableStyleElement dxfId="1" type="headerRow"/>
      <tableStyleElement dxfId="2" type="firstRowStripe"/>
      <tableStyleElement dxfId="3" type="secondRowStripe"/>
    </tableStyle>
    <tableStyle count="4" pivot="0" name="Caja espec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t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3" pivot="0" name="Balance 26-style 2">
      <tableStyleElement dxfId="1" type="headerRow"/>
      <tableStyleElement dxfId="2" type="firstRowStripe"/>
      <tableStyleElement dxfId="3" type="secondRowStripe"/>
    </tableStyle>
    <tableStyle count="3" pivot="0" name="Balance 26-style 3">
      <tableStyleElement dxfId="1" type="headerRow"/>
      <tableStyleElement dxfId="2" type="firstRowStripe"/>
      <tableStyleElement dxfId="3" type="secondRowStripe"/>
    </tableStyle>
    <tableStyle count="3" pivot="0" name="Resumen 3T-style">
      <tableStyleElement dxfId="6" type="headerRow"/>
      <tableStyleElement dxfId="2" type="firstRowStripe"/>
      <tableStyleElement dxfId="7" type="secondRowStripe"/>
    </tableStyle>
    <tableStyle count="4" pivot="0" name="3er Tiemp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gado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aboradore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Tipo Gast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Tipo Ingresos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Categorias-style">
      <tableStyleElement dxfId="1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Mes por estado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'Resumen 3T'!$R$4:$R$5</c:f>
            </c:strRef>
          </c:tx>
          <c:spPr>
            <a:solidFill>
              <a:srgbClr val="D5A6BD"/>
            </a:solidFill>
            <a:ln cmpd="sng">
              <a:noFill/>
            </a:ln>
          </c:spPr>
          <c:invertIfNegative val="0"/>
          <c:dPt>
            <c:idx val="4"/>
          </c:dPt>
          <c:dPt>
            <c:idx val="5"/>
          </c:dPt>
          <c:dPt>
            <c:idx val="6"/>
          </c:dPt>
          <c:dLbls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 3T'!$Q$6:$Q$15</c:f>
            </c:strRef>
          </c:cat>
          <c:val>
            <c:numRef>
              <c:f>'Resumen 3T'!$R$6:$R$15</c:f>
              <c:numCache/>
            </c:numRef>
          </c:val>
        </c:ser>
        <c:ser>
          <c:idx val="1"/>
          <c:order val="1"/>
          <c:tx>
            <c:strRef>
              <c:f>'Resumen 3T'!$S$4:$S$5</c:f>
            </c:strRef>
          </c:tx>
          <c:spPr>
            <a:solidFill>
              <a:srgbClr val="9FC5E8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 3T'!$Q$6:$Q$15</c:f>
            </c:strRef>
          </c:cat>
          <c:val>
            <c:numRef>
              <c:f>'Resumen 3T'!$S$6:$S$15</c:f>
              <c:numCache/>
            </c:numRef>
          </c:val>
        </c:ser>
        <c:ser>
          <c:idx val="2"/>
          <c:order val="2"/>
          <c:tx>
            <c:strRef>
              <c:f>'Resumen 3T'!$T$4:$T$5</c:f>
            </c:strRef>
          </c:tx>
          <c:spPr>
            <a:solidFill>
              <a:srgbClr val="FFE599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'Resumen 3T'!$Q$6:$Q$15</c:f>
            </c:strRef>
          </c:cat>
          <c:val>
            <c:numRef>
              <c:f>'Resumen 3T'!$T$6:$T$15</c:f>
              <c:numCache/>
            </c:numRef>
          </c:val>
        </c:ser>
        <c:overlap val="100"/>
        <c:axId val="1146323145"/>
        <c:axId val="1550515468"/>
      </c:barChart>
      <c:catAx>
        <c:axId val="1146323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0515468"/>
      </c:catAx>
      <c:valAx>
        <c:axId val="15505154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63231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66675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ckey San Telmo" id="{b56ece26-bdc1-4f13-96b7-39ec2c2bf3ad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L806" sheet="3er Tiempo"/>
  </cacheSource>
  <cacheFields>
    <cacheField name="Nombre y Apellido" numFmtId="0">
      <sharedItems>
        <s v="Fabiana, Bravo"/>
        <s v="Amelie, Castro"/>
        <s v="Maria, Duva"/>
        <s v="Juana, Orloff"/>
        <s v="Camila, Janecki"/>
        <s v="Thais, Costa"/>
        <s v="Anita, Urban"/>
        <s v="Franccesca, Stricagnola"/>
        <s v="Agustina Domínguez"/>
        <s v="Orquidea Liendo Calio"/>
        <s v="Milagros Monzón"/>
        <s v="Emilia Zeller Jones"/>
        <s v="Vera Bonnassiolle"/>
        <s v="Lupe Cáceres"/>
        <s v="Bellemans Morales Lucia"/>
        <s v="Chavez Nuñez Taiana Rocio"/>
        <s v="Cigno Hurtado Martina"/>
        <s v="Gomez Fonticelli Martina Zaira"/>
        <s v="Gonzalez Gonzalez Mía Antonella"/>
        <s v="Kravetz Olivia"/>
        <s v="Roccasalvo Clementina Luz"/>
        <s v="Aquino Aitana Abril"/>
        <s v="Salvatierra Mia"/>
        <s v="Aguirre, Gianella"/>
        <s v="Ahumada, Eva"/>
        <s v="Blanco, Emma"/>
        <s v="Calivar, Keila"/>
        <s v="Chavez, Isabella"/>
        <s v="Colombain, Sofía"/>
        <s v="Cosentino, Mercedes"/>
        <s v="Dicundo, Morena"/>
        <s v="Gonzalez, Isabella"/>
        <s v="Gratarola, Rocío"/>
        <s v="Guevara, Felicitas"/>
        <s v="Muñoz, Vera"/>
        <s v="Prietto, Emma"/>
        <s v="Rodriguez, Francesca"/>
        <s v="Romado Dos Santos, Bianca"/>
        <s v="Udobia Lopez, Victoria"/>
        <s v="Diaz Campos, Emilia"/>
        <s v="Bonorino Camila"/>
        <s v="Canepa Martina Sofía"/>
        <s v="Delpino Largosta Julieta Catalina"/>
        <s v="Fasolis Antonella Maxima"/>
        <s v="Garcia Devasto Agostina"/>
        <s v="Gonzalez Gonzalez Agostina"/>
        <s v="Luna Zahira"/>
        <s v="Mizrahi Merlo Victoria Belen"/>
        <s v="Montiel Nerea Yesmin"/>
        <s v="Peralta Valentina Itatí"/>
        <s v="Quispe Luana Valentina"/>
        <s v="Rodriguez Rocio Carolina"/>
        <s v="Rojas Dalma Alahi"/>
        <s v="Stopper Lara Alexia"/>
        <s v="Quiroz Valentina Ariana"/>
        <s v="Aguirre Aldana Maricela"/>
        <s v="Ardiles Abril Lujan"/>
        <s v="Candia Martina"/>
        <s v="Castro Zoe Luján"/>
        <s v="Cayo Karen Abril"/>
        <s v="Diaz Aldana Morena"/>
        <s v="Liendo Calio Esmeralda"/>
        <s v="Maciel Mc Cargo Lara Micaela Belen"/>
        <s v="Maldonado Morena Martina"/>
        <s v="Zalazar Sosa Zoe Mailen"/>
        <s v="Cami Gantus"/>
        <s v="Colo"/>
        <s v="Eve"/>
        <s v="Isa"/>
        <s v="Lau"/>
        <s v="Lescano"/>
        <s v="Magui"/>
        <s v="Mica"/>
        <s v="Mile"/>
        <s v="Nico"/>
        <s v="Niki"/>
        <s v="Pieri"/>
        <s v="Valen"/>
        <s v="Yami"/>
        <s v="Luz"/>
        <s v="Cata"/>
        <s v="Pia"/>
        <s v="Tati"/>
        <s v="Pili D"/>
        <s v="Guada P"/>
        <s v="Sofia Hanna Zajur"/>
        <s v="Bri Landauro"/>
        <s v="Melu"/>
        <s v="Dulce"/>
        <s v="Paloma"/>
        <s v="Agos"/>
      </sharedItems>
    </cacheField>
    <cacheField name="Categoria" numFmtId="0">
      <sharedItems>
        <s v="9na"/>
        <s v="8va"/>
        <s v="7ma"/>
        <s v="6ta"/>
        <s v="5ta"/>
        <s v="PS"/>
      </sharedItems>
    </cacheField>
    <cacheField name="Importe" numFmtId="0">
      <sharedItems containsString="0" containsBlank="1" containsNumber="1" containsInteger="1">
        <n v="20000.0"/>
        <m/>
        <n v="25000.0"/>
        <n v="30000.0"/>
        <n v="35000.0"/>
        <n v="0.0"/>
      </sharedItems>
    </cacheField>
    <cacheField name="Fecha" numFmtId="164">
      <sharedItems containsSemiMixedTypes="0" containsDate="1" containsString="0">
        <d v="2026-02-01T00:00:00Z"/>
        <d v="2026-03-01T00:00:00Z"/>
        <d v="2026-04-01T00:00:00Z"/>
        <d v="2026-05-01T00:00:00Z"/>
        <d v="2026-06-01T00:00:00Z"/>
        <d v="2026-07-01T00:00:00Z"/>
        <d v="2026-08-01T00:00:00Z"/>
        <d v="2026-09-01T00:00:00Z"/>
        <d v="2026-10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</sharedItems>
    </cacheField>
    <cacheField name="Fecha Pago" numFmtId="164">
      <sharedItems containsDate="1" containsString="0" containsBlank="1">
        <d v="2026-02-11T00:00:00Z"/>
        <d v="2026-02-16T00:00:00Z"/>
        <d v="2026-02-10T00:00:00Z"/>
        <m/>
        <d v="2026-03-05T00:00:00Z"/>
        <d v="2026-02-06T00:00:00Z"/>
        <d v="2026-03-17T00:00:00Z"/>
        <d v="2026-03-09T00:00:00Z"/>
        <d v="2026-03-12T00:00:00Z"/>
        <d v="2026-03-02T00:00:00Z"/>
        <d v="2026-03-03T00:00:00Z"/>
        <d v="2026-03-08T00:00:00Z"/>
        <d v="2026-04-06T00:00:00Z"/>
        <d v="2026-04-14T00:00:00Z"/>
        <d v="2026-04-07T00:00:00Z"/>
        <d v="2026-04-01T00:00:00Z"/>
        <d v="2026-04-21T00:00:00Z"/>
        <d v="2026-04-11T00:00:00Z"/>
        <d v="2026-04-17T00:00:00Z"/>
        <d v="2026-04-15T00:00:00Z"/>
        <d v="2026-05-15T00:00:00Z"/>
        <d v="2026-05-13T00:00:00Z"/>
        <d v="2026-05-11T00:00:00Z"/>
        <d v="2026-05-04T00:00:00Z"/>
        <d v="2026-05-14T00:00:00Z"/>
        <d v="2026-05-10T00:00:00Z"/>
        <d v="2026-05-07T00:00:00Z"/>
        <d v="2026-05-06T00:00:00Z"/>
        <d v="2026-06-19T00:00:00Z"/>
        <d v="2026-06-16T00:00:00Z"/>
        <d v="2026-06-01T00:00:00Z"/>
        <d v="2026-06-25T00:00:00Z"/>
        <d v="2026-06-04T00:00:00Z"/>
        <d v="2026-06-17T00:00:00Z"/>
        <d v="2026-06-02T00:00:00Z"/>
        <d v="2026-06-07T00:00:00Z"/>
        <d v="2026-06-30T00:00:00Z"/>
        <d v="2026-07-15T00:00:00Z"/>
        <d v="2026-07-20T00:00:00Z"/>
        <d v="2026-07-21T00:00:00Z"/>
        <d v="2026-07-02T00:00:00Z"/>
        <d v="2026-08-07T00:00:00Z"/>
        <d v="2026-07-13T00:00:00Z"/>
        <d v="2026-07-06T00:00:00Z"/>
        <d v="2026-07-01T00:00:00Z"/>
        <d v="2026-09-10T00:00:00Z"/>
        <d v="2026-07-16T00:00:00Z"/>
        <d v="2026-09-01T00:00:00Z"/>
        <d v="2026-08-25T00:00:00Z"/>
        <d v="2026-08-03T00:00:00Z"/>
        <d v="2026-09-03T00:00:00Z"/>
        <d v="2026-10-01T00:00:00Z"/>
        <d v="2026-08-04T00:00:00Z"/>
        <d v="2026-08-01T00:00:00Z"/>
        <d v="2026-08-11T00:00:00Z"/>
        <d v="2026-07-31T00:00:00Z"/>
        <d v="2026-09-18T00:00:00Z"/>
        <d v="2026-09-11T00:00:00Z"/>
        <d v="2026-09-02T00:00:00Z"/>
        <d v="2026-10-02T00:00:00Z"/>
        <d v="2026-10-05T00:00:00Z"/>
        <d v="2026-02-01T00:00:00Z"/>
        <d v="2026-03-01T00:00:00Z"/>
        <d v="2026-05-01T00:00:00Z"/>
        <d v="2026-09-29T00:00:00Z"/>
        <d v="2026-09-12T00:00:00Z"/>
        <d v="2026-09-22T00:00:00Z"/>
        <d v="2026-10-08T00:00:00Z"/>
        <d v="2026-10-03T00:00:00Z"/>
        <d v="2026-10-07T00:00:00Z"/>
        <d v="2026-10-10T00:00:00Z"/>
        <d v="2026-10-06T00:00:00Z"/>
        <d v="2026-10-11T00:00:00Z"/>
        <d v="2026-10-12T00:00:00Z"/>
      </sharedItems>
    </cacheField>
    <cacheField name="Comprobante" numFmtId="49">
      <sharedItems containsBlank="1">
        <s v="145831530308"/>
        <s v="145829256727"/>
        <s v="144967612843"/>
        <m/>
        <s v="145780378956"/>
        <s v="14824949146715"/>
        <s v="30120976017260206"/>
        <s v="150740911006"/>
        <s v="149599659082"/>
        <s v="149396057553"/>
        <s v="148238174455"/>
        <s v="149995900013"/>
        <s v="147826789879"/>
        <s v="10095009011260317"/>
        <s v="150734521828"/>
        <s v="152752323833"/>
        <s v="154796088750"/>
        <s v="153660272856"/>
        <s v="152851788910"/>
        <s v="155596035924"/>
        <s v="54246647660"/>
        <s v="155195260372"/>
        <s v="153580836156"/>
        <s v="15346836920"/>
        <s v="1154419031260407"/>
        <s v="154122792281"/>
        <s v="70152362011260407"/>
        <s v="152840004755"/>
        <s v="70050620008260515"/>
        <s v="158302758121"/>
        <s v="158016517011"/>
        <s v="157673246738"/>
        <s v="159249413660"/>
        <s v="158664816634"/>
        <s v="158210258632"/>
        <s v="159279857692"/>
        <s v="156923029009"/>
        <s v="70042886014260510"/>
        <s v="159388127364"/>
        <s v="30074229012260506"/>
        <s v="156919275885"/>
        <s v="164892291964"/>
        <s v="164388098830"/>
        <s v="164075709087"/>
        <s v="161208342227"/>
        <s v="164346833828"/>
        <s v="165816909114"/>
        <s v="161747637611"/>
        <s v="164605844540"/>
        <s v="161373866067"/>
        <s v="30032847029260607"/>
        <s v="171364860180"/>
        <s v="10318301010260619"/>
        <s v="161953167676"/>
        <s v="168106550633"/>
        <s v="168849922891"/>
        <s v="169829169162"/>
        <s v="165963032245"/>
        <s v="0070236430004013522415"/>
        <s v="167619582927"/>
        <s v="166583206183"/>
        <s v="165865618127"/>
        <s v="70125814012260714"/>
        <s v="177375386173"/>
        <s v="30019714016260716"/>
        <s v="165677702971"/>
        <s v="176670738826"/>
        <s v="175605817344 - 175605795820"/>
        <s v="176677670386"/>
        <s v="171830288104"/>
        <s v="176167436887"/>
        <s v="181785364638"/>
        <s v="171217368913"/>
        <s v="171931974192"/>
        <s v="30050972021260807"/>
        <s v="7006651814260811"/>
        <s v="170534208193"/>
        <s v="178742241237"/>
        <s v="176662584536"/>
        <s v="link"/>
        <s v="178438688364"/>
        <s v="175845585039"/>
        <s v="175901130571"/>
        <s v="5010131427260903"/>
        <s v="30050551012260918"/>
      </sharedItems>
    </cacheField>
    <cacheField name="Canal" numFmtId="0">
      <sharedItems containsBlank="1">
        <s v="Mercado Pago"/>
        <s v="Otro"/>
        <s v="Efectivo"/>
        <m/>
        <s v="BBVA"/>
        <s v="Modo"/>
        <s v="Anabella"/>
        <s v="Galicia"/>
        <s v="Hipotecario"/>
        <s v="Santander"/>
      </sharedItems>
    </cacheField>
    <cacheField name="Estado" numFmtId="0">
      <sharedItems>
        <s v="Pagado"/>
        <s v="Exento"/>
        <s v="Pendiente"/>
      </sharedItems>
    </cacheField>
    <cacheField name="Control" numFmtId="0">
      <sharedItems>
        <s v="Natalia Palladino"/>
        <s v="Gaby Agos"/>
        <s v="Rosana Lavagnino"/>
        <s v="Norma Rivero"/>
        <s v="Fernanda Largosta"/>
        <s v="Elena Molina"/>
        <s v="Clarisa"/>
      </sharedItems>
    </cacheField>
    <cacheField name="Mes" numFmtId="49">
      <sharedItems>
        <s v="02 - febrero"/>
        <s v="03 - marzo"/>
        <s v="04 - abril"/>
        <s v="05 - mayo"/>
        <s v="06 - junio"/>
        <s v="07 - julio"/>
        <s v="08 - agosto"/>
        <s v="09 - septiembre"/>
        <s v="10 - octubre"/>
      </sharedItems>
    </cacheField>
    <cacheField name="Año" numFmtId="49">
      <sharedItems>
        <s v="2026"/>
      </sharedItems>
    </cacheField>
    <cacheField name="Obs" numFmtId="0">
      <sharedItems containsBlank="1">
        <m/>
        <s v="Consultar Anabella"/>
        <s v="*le transfirió a Naty y Naty a Ana"/>
        <s v="CA: Consultar"/>
        <s v="Estuvo enferma Anabella indicó que no paga"/>
        <s v="Pago sep / Oct"/>
        <s v="Incluye pago de la hna"/>
        <s v="link"/>
        <s v="Lesión"/>
        <s v="Anabella informó que pagaron en Efectivo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8:K31" sheet="Caja especial"/>
  </cacheSource>
  <cacheFields>
    <cacheField name="Fecha" numFmtId="164">
      <sharedItems containsSemiMixedTypes="0" containsDate="1" containsString="0">
        <d v="2025-07-01T00:00:00Z"/>
        <d v="2025-12-01T00:00:00Z"/>
        <d v="2025-11-30T00:00:00Z"/>
        <d v="2025-11-05T00:00:00Z"/>
        <d v="2025-11-19T00:00:00Z"/>
        <d v="2025-11-29T00:00:00Z"/>
        <d v="2025-11-10T00:00:00Z"/>
        <d v="2025-11-18T00:00:00Z"/>
        <d v="2025-11-20T00:00:00Z"/>
        <d v="2025-12-15T00:00:00Z"/>
        <d v="2025-12-13T00:00:00Z"/>
        <d v="2025-11-11T00:00:00Z"/>
        <d v="2025-12-22T00:00:00Z"/>
      </sharedItems>
    </cacheField>
    <cacheField name="Descripción" numFmtId="0">
      <sharedItems>
        <s v="Bingo 1 2025 Saldo"/>
        <s v="Rifa 2025 Saldo"/>
        <s v="Bingo 2 2025 Saldo"/>
        <s v="Fiesta- Mesas y sillas"/>
        <s v="Fiesta - Pago de silla rota"/>
        <s v="Fiesta - 2 sillas rotas"/>
        <s v="Fiesta - Bebida"/>
        <s v="Fiesta - Carbón y otros"/>
        <s v="Fiesta - Decoración y vasos"/>
        <s v="Fiesta - Mesas 29/11 (anticipo 50%)"/>
        <s v="Fiesta - Catering para jugadoras (seña)"/>
        <s v="Fiesta - Catering"/>
        <s v="Fiesta - DJ"/>
        <s v="Fiesta - Rolo"/>
        <s v="Fiesta - Mesas y Sillas 29/11 (50% restante)"/>
        <s v="Pecheras fin de año"/>
        <s v="Botellas"/>
        <s v="Placas, nombres, escudo"/>
        <s v="Stampa escudo"/>
        <s v="Compras - Bochas"/>
        <s v="Compras - Conos"/>
        <s v="Cuotas AHBA (Asociación)"/>
      </sharedItems>
    </cacheField>
    <cacheField name="Importe" numFmtId="0">
      <sharedItems containsSemiMixedTypes="0" containsString="0" containsNumber="1">
        <n v="1454045.0"/>
        <n v="1824000.0"/>
        <n v="3516000.0"/>
        <n v="670000.0"/>
        <n v="12000.0"/>
        <n v="26000.0"/>
        <n v="373700.0"/>
        <n v="20000.0"/>
        <n v="30000.0"/>
        <n v="405000.0"/>
        <n v="100000.0"/>
        <n v="814800.0"/>
        <n v="280000.0"/>
        <n v="13000.0"/>
        <n v="305457.0"/>
        <n v="90000.0"/>
        <n v="117400.0"/>
        <n v="160000.0"/>
        <n v="141138.0"/>
        <n v="34600.0"/>
        <n v="599239.0"/>
        <n v="119239.87"/>
      </sharedItems>
    </cacheField>
    <cacheField name="Cantidad" numFmtId="0">
      <sharedItems containsSemiMixedTypes="0" containsString="0" containsNumber="1" containsInteger="1">
        <n v="1.0"/>
      </sharedItems>
    </cacheField>
    <cacheField name="Total" numFmtId="0">
      <sharedItems containsSemiMixedTypes="0" containsString="0" containsNumber="1">
        <n v="1454045.0"/>
        <n v="1824000.0"/>
        <n v="3516000.0"/>
        <n v="670000.0"/>
        <n v="12000.0"/>
        <n v="26000.0"/>
        <n v="373700.0"/>
        <n v="20000.0"/>
        <n v="30000.0"/>
        <n v="405000.0"/>
        <n v="100000.0"/>
        <n v="814800.0"/>
        <n v="280000.0"/>
        <n v="13000.0"/>
        <n v="305457.0"/>
        <n v="90000.0"/>
        <n v="117400.0"/>
        <n v="160000.0"/>
        <n v="141138.0"/>
        <n v="34600.0"/>
        <n v="599239.0"/>
        <n v="119239.87"/>
      </sharedItems>
    </cacheField>
    <cacheField name="Tipo" numFmtId="0">
      <sharedItems>
        <s v="Ingreso"/>
        <s v="Egreso"/>
      </sharedItems>
    </cacheField>
    <cacheField name="Responsable" numFmtId="0">
      <sharedItems>
        <s v="Malena"/>
      </sharedItems>
    </cacheField>
    <cacheField name="Comprobante" numFmtId="0">
      <sharedItems containsString="0" containsBlank="1">
        <m/>
      </sharedItems>
    </cacheField>
    <cacheField name="Observación" numFmtId="0">
      <sharedItems containsString="0" containsBlank="1">
        <m/>
      </sharedItems>
    </cacheField>
    <cacheField name="Mes" numFmtId="0">
      <sharedItems>
        <s v="07 - julio"/>
        <s v="12 - diciembre"/>
        <s v="11 - noviembre"/>
      </sharedItems>
    </cacheField>
    <cacheField name="Año" numFmtId="0">
      <sharedItems>
        <s v="2025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34" sheet="Gastos"/>
  </cacheSource>
  <cacheFields>
    <cacheField name="Fecha" numFmtId="164">
      <sharedItems containsSemiMixedTypes="0" containsDate="1" containsString="0">
        <d v="2026-03-01T00:00:00Z"/>
        <d v="2026-03-06T00:00:00Z"/>
        <d v="2026-03-07T00:00:00Z"/>
        <d v="2026-03-16T00:00:00Z"/>
        <d v="2026-03-18T00:00:00Z"/>
        <d v="2026-03-20T00:00:00Z"/>
        <d v="2026-03-21T00:00:00Z"/>
        <d v="2026-03-25T00:00:00Z"/>
        <d v="2026-03-27T00:00:00Z"/>
        <d v="2026-03-31T00:00:00Z"/>
        <d v="2026-04-09T00:00:00Z"/>
        <d v="2026-04-11T00:00:00Z"/>
        <d v="2026-04-22T00:00:00Z"/>
        <d v="2026-04-25T00:00:00Z"/>
        <d v="2026-04-29T00:00:00Z"/>
        <d v="2026-05-06T00:00:00Z"/>
        <d v="2026-05-09T00:00:00Z"/>
        <d v="2026-05-13T00:00:00Z"/>
        <d v="2026-05-20T00:00:00Z"/>
        <d v="2026-05-22T00:00:00Z"/>
        <d v="2026-05-27T00:00:00Z"/>
        <d v="2026-05-30T00:00:00Z"/>
        <d v="2026-06-06T00:00:00Z"/>
        <d v="2026-06-10T00:00:00Z"/>
        <d v="2026-06-17T00:00:00Z"/>
        <d v="2026-06-24T00:00:00Z"/>
        <d v="2026-06-27T00:00:00Z"/>
        <d v="2026-07-01T00:00:00Z"/>
        <d v="2026-07-08T00:00:00Z"/>
        <d v="2026-07-11T00:00:00Z"/>
        <d v="2026-07-24T00:00:00Z"/>
        <d v="2026-07-29T00:00:00Z"/>
        <d v="2026-08-05T00:00:00Z"/>
        <d v="2026-08-08T00:00:00Z"/>
        <d v="2026-08-19T00:00:00Z"/>
        <d v="2026-08-21T00:00:00Z"/>
        <d v="2026-08-26T00:00:00Z"/>
        <d v="2026-09-03T00:00:00Z"/>
        <d v="2026-09-04T00:00:00Z"/>
        <d v="2026-09-05T00:00:00Z"/>
        <d v="2026-09-18T00:00:00Z"/>
        <d v="2026-09-22T00:00:00Z"/>
        <d v="2026-09-23T00:00:00Z"/>
        <d v="2026-09-25T00:00:00Z"/>
        <d v="2026-09-26T00:00:00Z"/>
      </sharedItems>
    </cacheField>
    <cacheField name="Tipo" numFmtId="0">
      <sharedItems>
        <s v="Cancha Chicago"/>
        <s v="Botiquín"/>
        <s v="Sede"/>
        <s v="Árbitro 1"/>
        <s v="Árbitro 2"/>
        <s v="Médico"/>
        <s v="Bananas"/>
        <s v="Alfajores"/>
        <s v="Aguas"/>
        <s v="Panchos"/>
        <s v="Aderezos"/>
        <s v="Micros 3er T"/>
        <s v="Ensaladas"/>
        <s v="Asociación"/>
        <s v="Afajores"/>
        <s v="Otros"/>
      </sharedItems>
    </cacheField>
    <cacheField name="Importe" numFmtId="0">
      <sharedItems containsSemiMixedTypes="0" containsString="0" containsNumber="1">
        <n v="90000.0"/>
        <n v="83622.75"/>
        <n v="30000.0"/>
        <n v="69000.0"/>
        <n v="110000.0"/>
        <n v="32000.0"/>
        <n v="19200.0"/>
        <n v="84100.0"/>
        <n v="3480.0"/>
        <n v="510000.0"/>
        <n v="240000.0"/>
        <n v="320000.0"/>
        <n v="11000.0"/>
        <n v="115000.0"/>
        <n v="35000.0"/>
        <n v="84040.0"/>
        <n v="5000.0"/>
        <n v="96913.33"/>
        <n v="45000.0"/>
        <n v="28000.0"/>
        <n v="82000.0"/>
        <n v="26800.0"/>
        <n v="97405.0"/>
        <n v="6700.0"/>
        <n v="6000.0"/>
        <n v="270000.0"/>
        <n v="20000.0"/>
        <n v="33500.0"/>
        <n v="77000.0"/>
        <n v="10000.0"/>
        <n v="9500.0"/>
        <n v="25000.0"/>
        <n v="80120.0"/>
        <n v="15000.0"/>
        <n v="14000.0"/>
        <n v="15462.72"/>
        <n v="105320.0"/>
        <n v="83960.0"/>
        <n v="73645.0"/>
        <n v="45116.0"/>
        <n v="300000.0"/>
        <n v="26000.0"/>
        <n v="83030.0"/>
        <n v="9200.0"/>
        <n v="350000.0"/>
        <n v="22100.0"/>
        <n v="13400.0"/>
        <n v="98485.0"/>
        <n v="6710.0"/>
        <n v="3900.0"/>
        <n v="4200.0"/>
        <n v="4400.0"/>
        <n v="44130.0"/>
        <n v="134820.0"/>
        <n v="4363.0"/>
        <n v="24000.0"/>
        <n v="110860.0"/>
        <n v="9000.0"/>
        <n v="1999.0"/>
      </sharedItems>
    </cacheField>
    <cacheField name="Cantidad" numFmtId="0">
      <sharedItems containsSemiMixedTypes="0" containsString="0" containsNumber="1" containsInteger="1">
        <n v="1.0"/>
      </sharedItems>
    </cacheField>
    <cacheField name="Total" numFmtId="0">
      <sharedItems containsSemiMixedTypes="0" containsString="0" containsNumber="1">
        <n v="90000.0"/>
        <n v="83622.75"/>
        <n v="30000.0"/>
        <n v="69000.0"/>
        <n v="110000.0"/>
        <n v="32000.0"/>
        <n v="19200.0"/>
        <n v="84100.0"/>
        <n v="3480.0"/>
        <n v="510000.0"/>
        <n v="240000.0"/>
        <n v="320000.0"/>
        <n v="11000.0"/>
        <n v="115000.0"/>
        <n v="35000.0"/>
        <n v="84040.0"/>
        <n v="5000.0"/>
        <n v="96913.33"/>
        <n v="45000.0"/>
        <n v="28000.0"/>
        <n v="82000.0"/>
        <n v="26800.0"/>
        <n v="97405.0"/>
        <n v="6700.0"/>
        <n v="6000.0"/>
        <n v="270000.0"/>
        <n v="20000.0"/>
        <n v="33500.0"/>
        <n v="77000.0"/>
        <n v="10000.0"/>
        <n v="9500.0"/>
        <n v="25000.0"/>
        <n v="80120.0"/>
        <n v="15000.0"/>
        <n v="14000.0"/>
        <n v="15462.72"/>
        <n v="105320.0"/>
        <n v="83960.0"/>
        <n v="73645.0"/>
        <n v="45116.0"/>
        <n v="300000.0"/>
        <n v="26000.0"/>
        <n v="83030.0"/>
        <n v="9200.0"/>
        <n v="350000.0"/>
        <n v="22100.0"/>
        <n v="13400.0"/>
        <n v="98485.0"/>
        <n v="6710.0"/>
        <n v="3900.0"/>
        <n v="4200.0"/>
        <n v="4400.0"/>
        <n v="44130.0"/>
        <n v="134820.0"/>
        <n v="4363.0"/>
        <n v="24000.0"/>
        <n v="110860.0"/>
        <n v="9000.0"/>
        <n v="1999.0"/>
      </sharedItems>
    </cacheField>
    <cacheField name="Colaborador" numFmtId="0">
      <sharedItems>
        <s v="Anabella - Coordinador"/>
        <s v="9na - Natalia Palladino"/>
      </sharedItems>
    </cacheField>
    <cacheField name="Comprobante" numFmtId="0">
      <sharedItems containsBlank="1">
        <s v="link"/>
        <m/>
      </sharedItems>
    </cacheField>
    <cacheField name="Observaciones" numFmtId="0">
      <sharedItems containsBlank="1">
        <s v="tiene fecha 14/2/2026"/>
        <m/>
        <s v="Micros 4 y 11 de marzo"/>
        <s v="pancho + alfajor + ensalada"/>
        <s v="Servilletas"/>
      </sharedItems>
    </cacheField>
    <cacheField name="Verificado" numFmtId="0">
      <sharedItems>
        <b v="1"/>
        <b v="0"/>
      </sharedItems>
    </cacheField>
    <cacheField name="Mes" numFmtId="0">
      <sharedItems>
        <s v="03 - marzo"/>
        <s v="04 - abril"/>
        <s v="05 - mayo"/>
        <s v="06 - junio"/>
        <s v="07 - julio"/>
        <s v="08 - agosto"/>
        <s v="09 - septiembre"/>
      </sharedItems>
    </cacheField>
    <cacheField name="Año" numFmtId="0">
      <sharedItems>
        <s v="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Resumen 3T" cacheId="0" dataCaption="" rowGrandTotals="0" compact="0" compactData="0">
  <location ref="A3:L101" firstHeaderRow="0" firstDataRow="2" firstDataCol="1"/>
  <pivotFields>
    <pivotField name="Nombre y Apellido" axis="axisRow" compact="0" outline="0" multipleItemSelectionAllowed="1" showAll="0" sortType="ascending">
      <items>
        <item x="90"/>
        <item x="55"/>
        <item x="23"/>
        <item x="8"/>
        <item x="24"/>
        <item x="1"/>
        <item x="6"/>
        <item x="21"/>
        <item x="56"/>
        <item x="14"/>
        <item x="25"/>
        <item x="40"/>
        <item x="86"/>
        <item x="26"/>
        <item x="65"/>
        <item x="4"/>
        <item x="57"/>
        <item x="41"/>
        <item x="58"/>
        <item x="80"/>
        <item x="59"/>
        <item x="15"/>
        <item x="27"/>
        <item x="16"/>
        <item x="66"/>
        <item x="28"/>
        <item x="29"/>
        <item x="42"/>
        <item x="60"/>
        <item x="39"/>
        <item x="30"/>
        <item x="88"/>
        <item x="11"/>
        <item x="67"/>
        <item x="0"/>
        <item x="43"/>
        <item x="7"/>
        <item x="44"/>
        <item x="17"/>
        <item x="45"/>
        <item x="18"/>
        <item x="31"/>
        <item x="32"/>
        <item x="84"/>
        <item x="33"/>
        <item x="68"/>
        <item x="3"/>
        <item x="19"/>
        <item x="69"/>
        <item x="70"/>
        <item x="61"/>
        <item x="46"/>
        <item x="13"/>
        <item x="79"/>
        <item x="62"/>
        <item x="71"/>
        <item x="63"/>
        <item x="2"/>
        <item x="87"/>
        <item x="72"/>
        <item x="10"/>
        <item x="73"/>
        <item x="47"/>
        <item x="48"/>
        <item x="34"/>
        <item x="74"/>
        <item x="75"/>
        <item x="9"/>
        <item x="89"/>
        <item x="49"/>
        <item x="81"/>
        <item x="76"/>
        <item x="83"/>
        <item x="35"/>
        <item x="54"/>
        <item x="50"/>
        <item x="20"/>
        <item x="51"/>
        <item x="36"/>
        <item x="52"/>
        <item x="37"/>
        <item x="22"/>
        <item x="85"/>
        <item x="53"/>
        <item x="82"/>
        <item x="5"/>
        <item x="38"/>
        <item x="77"/>
        <item x="12"/>
        <item x="78"/>
        <item x="64"/>
        <item t="default"/>
      </items>
    </pivotField>
    <pivotField name="Categoria" axis="axisRow" compact="0" outline="0" multipleItemSelectionAllowed="1" showAll="0" sortType="ascending">
      <items>
        <item x="4"/>
        <item x="3"/>
        <item x="2"/>
        <item x="1"/>
        <item x="0"/>
        <item x="5"/>
        <item t="default"/>
      </items>
    </pivotField>
    <pivotField name="Importe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echa Pag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mproba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ado" compact="0" outline="0" multipleItemSelectionAllowed="1" showAll="0">
      <items>
        <item x="0"/>
        <item x="1"/>
        <item x="2"/>
        <item t="default"/>
      </items>
    </pivotField>
    <pivotField name="Contro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s" axis="axisCol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ño" compact="0" numFmtId="49" outline="0" multipleItemSelectionAllowed="1" showAll="0">
      <items>
        <item x="0"/>
        <item t="default"/>
      </items>
    </pivotField>
    <pivotField name="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  <field x="0"/>
  </rowFields>
  <colFields>
    <field x="9"/>
  </colFields>
  <dataFields>
    <dataField name="Total por Categoria" fld="2" baseField="0"/>
  </dataFields>
</pivotTableDefinition>
</file>

<file path=xl/pivotTables/pivotTable2.xml><?xml version="1.0" encoding="utf-8"?>
<pivotTableDefinition xmlns="http://schemas.openxmlformats.org/spreadsheetml/2006/main" name="Resumen 3T 2" cacheId="0" dataCaption="" colGrandTotals="0" compact="0" compactData="0">
  <location ref="P4:T15" firstHeaderRow="0" firstDataRow="2" firstDataCol="1"/>
  <pivotFields>
    <pivotField name="Nombre y Apelli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Categoria" axis="axisRow" compact="0" outline="0" multipleItemSelectionAllowed="1" showAll="0" sortType="ascending" defaultSubtotal="0">
      <items>
        <item h="1" x="4"/>
        <item h="1" x="3"/>
        <item h="1" x="2"/>
        <item h="1" x="1"/>
        <item h="1" x="0"/>
        <item x="5"/>
      </items>
    </pivotField>
    <pivotField name="Import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Fecha Pag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mprobant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Ca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Estado" axis="axisCol" compact="0" outline="0" multipleItemSelectionAllowed="1" showAll="0" sortType="ascending">
      <items>
        <item x="1"/>
        <item x="0"/>
        <item x="2"/>
        <item t="default"/>
      </items>
    </pivotField>
    <pivotField name="Control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s" axis="axisRow" compact="0" numFmtId="4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ño" compact="0" numFmtId="49" outline="0" multipleItemSelectionAllowed="1" showAll="0">
      <items>
        <item x="0"/>
        <item t="default"/>
      </items>
    </pivotField>
    <pivotField name="Ob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1"/>
    <field x="9"/>
  </rowFields>
  <colFields>
    <field x="7"/>
  </colFields>
  <dataFields>
    <dataField name="Mensual por categoria" fld="3" subtotal="count" showDataAs="percentOfRow" baseField="0" numFmtId="10"/>
  </dataFields>
</pivotTableDefinition>
</file>

<file path=xl/pivotTables/pivotTable3.xml><?xml version="1.0" encoding="utf-8"?>
<pivotTableDefinition xmlns="http://schemas.openxmlformats.org/spreadsheetml/2006/main" name="Caja especial" cacheId="1" dataCaption="" rowGrandTotals="0" colGrandTotals="0" compact="0" compactData="0">
  <location ref="A1:D5" firstHeaderRow="0" firstDataRow="2" firstDataCol="1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escripció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Imp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antidad" compact="0" outline="0" multipleItemSelectionAllowed="1" showAll="0">
      <items>
        <item x="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ipo" axis="axisCol" compact="0" outline="0" multipleItemSelectionAllowed="1" showAll="0" sortType="descending">
      <items>
        <item x="0"/>
        <item x="1"/>
        <item t="default"/>
      </items>
    </pivotField>
    <pivotField name="Responsable" compact="0" outline="0" multipleItemSelectionAllowed="1" showAll="0">
      <items>
        <item x="0"/>
        <item t="default"/>
      </items>
    </pivotField>
    <pivotField name="Comprobante" compact="0" outline="0" multipleItemSelectionAllowed="1" showAll="0">
      <items>
        <item x="0"/>
        <item t="default"/>
      </items>
    </pivotField>
    <pivotField name="Observación" compact="0" outline="0" multipleItemSelectionAllowed="1" showAll="0">
      <items>
        <item x="0"/>
        <item t="default"/>
      </items>
    </pivotField>
    <pivotField name="Mes" axis="axisRow" compact="0" outline="0" multipleItemSelectionAllowed="1" showAll="0" sortType="ascending">
      <items>
        <item x="0"/>
        <item x="2"/>
        <item x="1"/>
        <item t="default"/>
      </items>
    </pivotField>
    <pivotField name="Año" axis="axisRow" compact="0" outline="0" multipleItemSelectionAllowed="1" showAll="0" sortType="ascending" defaultSubtotal="0">
      <items>
        <item x="0"/>
      </items>
    </pivotField>
  </pivotFields>
  <rowFields>
    <field x="10"/>
    <field x="9"/>
  </rowFields>
  <colFields>
    <field x="5"/>
  </colFields>
  <dataFields>
    <dataField name="Resumen" fld="4" baseField="0"/>
  </dataFields>
</pivotTableDefinition>
</file>

<file path=xl/pivotTables/pivotTable4.xml><?xml version="1.0" encoding="utf-8"?>
<pivotTableDefinition xmlns="http://schemas.openxmlformats.org/spreadsheetml/2006/main" name="Gastos" cacheId="2" dataCaption="" compact="0" compactData="0">
  <location ref="M4:P23" firstHeaderRow="0" firstDataRow="3" firstDataCol="0" rowPageCount="1" colPageCount="1"/>
  <pivotFields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Tipo" axis="axisRow" compact="0" outline="0" multipleItemSelectionAllowed="1" showAll="0" sortType="ascending">
      <items>
        <item x="10"/>
        <item x="14"/>
        <item x="8"/>
        <item x="7"/>
        <item x="3"/>
        <item x="4"/>
        <item x="13"/>
        <item x="6"/>
        <item x="1"/>
        <item x="0"/>
        <item x="12"/>
        <item x="5"/>
        <item x="11"/>
        <item x="15"/>
        <item x="9"/>
        <item x="2"/>
        <item t="default"/>
      </items>
    </pivotField>
    <pivotField name="Impor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antidad" dataField="1" compact="0" outline="0" multipleItemSelectionAllowed="1" showAll="0">
      <items>
        <item x="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Colaborador" compact="0" outline="0" multipleItemSelectionAllowed="1" showAll="0">
      <items>
        <item x="0"/>
        <item x="1"/>
        <item t="default"/>
      </items>
    </pivotField>
    <pivotField name="Comprobante" compact="0" outline="0" multipleItemSelectionAllowed="1" showAll="0">
      <items>
        <item x="0"/>
        <item x="1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erificado" compact="0" outline="0" multipleItemSelectionAllowed="1" showAll="0">
      <items>
        <item x="0"/>
        <item x="1"/>
        <item t="default"/>
      </items>
    </pivotField>
    <pivotField name="Mes" axis="axisRow" compact="0" outline="0" multipleItemSelectionAllowed="1" showAll="0" sortType="ascending">
      <items>
        <item x="0"/>
        <item x="1"/>
        <item sd="0" x="2"/>
        <item x="3"/>
        <item x="4"/>
        <item x="5"/>
        <item x="6"/>
        <item t="default"/>
      </items>
    </pivotField>
    <pivotField name="Año" axis="axisPage" compact="0" outline="0" multipleItemSelectionAllowed="1" showAll="0">
      <items>
        <item x="0"/>
        <item t="default"/>
      </items>
    </pivotField>
  </pivotFields>
  <rowFields>
    <field x="9"/>
    <field x="1"/>
  </rowFields>
  <colFields>
    <field x="-2"/>
  </colFields>
  <pageFields>
    <pageField fld="10"/>
  </pageFields>
  <dataFields>
    <dataField name="Cantidad" fld="3" subtotal="countNums" baseField="0"/>
    <dataField name="Total" fld="4" baseField="0"/>
  </dataFields>
</pivotTableDefinition>
</file>

<file path=xl/tables/table1.xml><?xml version="1.0" encoding="utf-8"?>
<table xmlns="http://schemas.openxmlformats.org/spreadsheetml/2006/main" headerRowCount="0" ref="C1:O1" displayName="Table_1" name="Table_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Balance 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B4" displayName="Table_2" name="Table_2" id="4">
  <tableColumns count="2">
    <tableColumn name="Column1" id="1"/>
    <tableColumn name="Column2" id="2"/>
  </tableColumns>
  <tableStyleInfo name="Balance 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35:B38" displayName="Table_3" name="Table_3" id="5">
  <tableColumns count="2">
    <tableColumn name="Column1" id="1"/>
    <tableColumn name="Column2" id="2"/>
  </tableColumns>
  <tableStyleInfo name="Balance 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4:K19" displayName="Table_4" name="Table_4" id="6">
  <tableColumns count="11">
    <tableColumn name="Categoria" id="1"/>
    <tableColumn name="Nombre y Apellido" id="2"/>
    <tableColumn name="02 - febrero" id="3"/>
    <tableColumn name="03 - marzo" id="4"/>
    <tableColumn name="04 - abril" id="5"/>
    <tableColumn name="05 - mayo" id="6"/>
    <tableColumn name="06 - junio" id="7"/>
    <tableColumn name="07 - julio" id="8"/>
    <tableColumn name="08 - agosto" id="9"/>
    <tableColumn name="09 - septiembre" id="10"/>
    <tableColumn name="10 - octubre" id="11"/>
  </tableColumns>
  <tableStyleInfo name="Resumen 3T-style" showColumnStripes="0" showFirstColumn="1" showLastColumn="1" showRowStripes="1"/>
</table>
</file>

<file path=xl/tables/table5.xml><?xml version="1.0" encoding="utf-8"?>
<table xmlns="http://schemas.openxmlformats.org/spreadsheetml/2006/main" ref="A8:K31" displayName="Caja_Especial" name="Caja_Especial" id="2">
  <tableColumns count="11">
    <tableColumn name="Fecha" id="1"/>
    <tableColumn name="Descripción" id="2"/>
    <tableColumn name="Importe" id="3"/>
    <tableColumn name="Cantidad" id="4"/>
    <tableColumn name="Total" id="5"/>
    <tableColumn name="Tipo" id="6"/>
    <tableColumn name="Responsable" id="7"/>
    <tableColumn name="Comprobante" id="8"/>
    <tableColumn name="Observación" id="9"/>
    <tableColumn name="Mes" id="10"/>
    <tableColumn name="Año" id="11"/>
  </tableColumns>
  <tableStyleInfo name="Caja especial-style" showColumnStripes="0" showFirstColumn="1" showLastColumn="1" showRowStripes="1"/>
</table>
</file>

<file path=xl/tables/table6.xml><?xml version="1.0" encoding="utf-8"?>
<table xmlns="http://schemas.openxmlformats.org/spreadsheetml/2006/main" ref="A1:K134" displayName="Gastos" name="Gastos" id="3">
  <autoFilter ref="$A$1:$K$134">
    <filterColumn colId="9">
      <filters>
        <filter val="09 - septiembre"/>
      </filters>
    </filterColumn>
  </autoFilter>
  <tableColumns count="11">
    <tableColumn name="Fecha" id="1"/>
    <tableColumn name="Tipo" id="2"/>
    <tableColumn name="Importe" id="3"/>
    <tableColumn name="Cantidad" id="4"/>
    <tableColumn name="Total" id="5"/>
    <tableColumn name="Colaborador" id="6"/>
    <tableColumn name="Comprobante" id="7"/>
    <tableColumn name="Observaciones" id="8"/>
    <tableColumn name="Verificado" id="9"/>
    <tableColumn name="Mes" id="10"/>
    <tableColumn name="Año" id="11"/>
  </tableColumns>
  <tableStyleInfo name="Gastos-style" showColumnStripes="0" showFirstColumn="1" showLastColumn="1" showRowStripes="1"/>
</table>
</file>

<file path=xl/tables/table7.xml><?xml version="1.0" encoding="utf-8"?>
<table xmlns="http://schemas.openxmlformats.org/spreadsheetml/2006/main" ref="A2:L806" displayName="Registro" name="Registro" id="7">
  <autoFilter ref="$A$2:$L$806">
    <filterColumn colId="1">
      <filters>
        <filter val="6ta"/>
        <filter val="7ma"/>
      </filters>
    </filterColumn>
    <filterColumn colId="0">
      <filters>
        <filter val="Gonzalez Gonzalez Mía Antonella"/>
        <filter val="Kravetz Olivia"/>
        <filter val="Lau"/>
        <filter val="Candia Martina"/>
        <filter val="Cami Gantus"/>
        <filter val="Valen"/>
        <filter val="Pili D"/>
        <filter val="Guada P"/>
        <filter val="Bri Landauro"/>
        <filter val="Dulce"/>
        <filter val="Vera Bonnassiolle"/>
        <filter val="Mile"/>
        <filter val="Anita, Urban"/>
        <filter val="Agustina Domínguez"/>
        <filter val="Salvatierra Mia"/>
        <filter val="Lupe Cáceres"/>
        <filter val="Nico"/>
        <filter val="Chavez Nuñez Taiana Rocio"/>
        <filter val="Ardiles Abril Lujan"/>
        <filter val="Fabiana, Bravo"/>
        <filter val="Colo"/>
        <filter val="Lescano"/>
        <filter val="Cayo Karen Abril"/>
        <filter val="Eve"/>
        <filter val="Agos"/>
        <filter val="Amelie, Castro"/>
        <filter val="Pieri"/>
        <filter val="Zalazar Sosa Zoe Mailen"/>
        <filter val="Gomez Fonticelli Martina Zaira"/>
        <filter val="Aquino Aitana Abril"/>
        <filter val="Mica"/>
        <filter val="Maria, Duva"/>
        <filter val="Roccasalvo Clementina Luz"/>
        <filter val="Castro Zoe Luján"/>
        <filter val="Sofia Hanna Zajur"/>
        <filter val="Aguirre Aldana Maricela"/>
        <filter val="Isa"/>
        <filter val="Thais, Costa"/>
        <filter val="Milagros Monzón"/>
        <filter val="Emilia Zeller Jones"/>
        <filter val="Niki"/>
        <filter val="Tati"/>
        <filter val="Melu"/>
        <filter val="Paloma"/>
        <filter val="Liendo Calio Esmeralda"/>
        <filter val="Pia"/>
        <filter val="Maciel Mc Cargo Lara Micaela Belen"/>
        <filter val="Franccesca, Stricagnola"/>
        <filter val="Magui"/>
        <filter val="Yami"/>
        <filter val="Luz"/>
        <filter val="Orquidea Liendo Calio"/>
        <filter val="Maldonado Morena Martina"/>
        <filter val="Bellemans Morales Lucia"/>
        <filter val="Cata"/>
        <filter val="Camila, Janecki"/>
        <filter val="Romado Dos Santos, Bianca"/>
        <filter val="Diaz Aldana Morena"/>
        <filter val="Cigno Hurtado Martina"/>
        <filter val="Juana, Orloff"/>
      </filters>
    </filterColumn>
  </autoFilter>
  <tableColumns count="12">
    <tableColumn name="Nombre y Apellido" id="1"/>
    <tableColumn name="Categoria" id="2"/>
    <tableColumn name="Importe" id="3"/>
    <tableColumn name="Fecha" id="4"/>
    <tableColumn name="Fecha Pago" id="5"/>
    <tableColumn name="Comprobante" id="6"/>
    <tableColumn name="Canal" id="7"/>
    <tableColumn name="Estado" id="8"/>
    <tableColumn name="Control" id="9"/>
    <tableColumn name="Mes" id="10"/>
    <tableColumn name="Año" id="11"/>
    <tableColumn name="Obs" id="12"/>
  </tableColumns>
  <tableStyleInfo name="3er Tiempo-style" showColumnStripes="0" showFirstColumn="1" showLastColumn="1" showRowStripes="1"/>
</table>
</file>

<file path=xl/tables/table8.xml><?xml version="1.0" encoding="utf-8"?>
<table xmlns="http://schemas.openxmlformats.org/spreadsheetml/2006/main" ref="A1:F92" displayName="Jugadoras" name="Jugadoras" id="8">
  <autoFilter ref="$A$1:$F$92">
    <filterColumn colId="2">
      <filters>
        <filter val="7ma"/>
      </filters>
    </filterColumn>
  </autoFilter>
  <tableColumns count="6">
    <tableColumn name="ID" id="1"/>
    <tableColumn name="Nombre y Apellido" id="2"/>
    <tableColumn name="Categoria" id="3"/>
    <tableColumn name="Estado" id="4"/>
    <tableColumn name="Motivo" id="5"/>
    <tableColumn name="Fecha" id="6"/>
  </tableColumns>
  <tableStyleInfo name="Jugadoras-style" showColumnStripes="0" showFirstColumn="1" showLastColumn="1" showRowStripes="1"/>
</table>
</file>

<file path=xl/tables/table9.xml><?xml version="1.0" encoding="utf-8"?>
<table xmlns="http://schemas.openxmlformats.org/spreadsheetml/2006/main" ref="A1:G11" displayName="Colaboradores" name="Colaboradores" id="9">
  <tableColumns count="7">
    <tableColumn name="ID" id="1"/>
    <tableColumn name="Descripción" id="2"/>
    <tableColumn name="Tipo" id="3"/>
    <tableColumn name="Categoría" id="4"/>
    <tableColumn name="Estado" id="5"/>
    <tableColumn name="Fecha Estado" id="6"/>
    <tableColumn name="Cat + Col " id="7"/>
  </tableColumns>
  <tableStyleInfo name="Colaboradores-style" showColumnStripes="0" showFirstColumn="1" showLastColumn="1" showRowStripes="1"/>
</table>
</file>

<file path=xl/tables/table10.xml><?xml version="1.0" encoding="utf-8"?>
<table xmlns="http://schemas.openxmlformats.org/spreadsheetml/2006/main" ref="A1:C16" displayName="Tipo_Gastos" name="Tipo_Gastos" id="10">
  <tableColumns count="3">
    <tableColumn name="ID" id="1"/>
    <tableColumn name="Descripción" id="2"/>
    <tableColumn name="Estado" id="3"/>
  </tableColumns>
  <tableStyleInfo name="Tipo Gastos-style" showColumnStripes="0" showFirstColumn="1" showLastColumn="1" showRowStripes="1"/>
</table>
</file>

<file path=xl/tables/table11.xml><?xml version="1.0" encoding="utf-8"?>
<table xmlns="http://schemas.openxmlformats.org/spreadsheetml/2006/main" ref="A1:C5" displayName="Tipo_Ingresos" name="Tipo_Ingresos" id="11">
  <tableColumns count="3">
    <tableColumn name="ID" id="1"/>
    <tableColumn name="Descripción" id="2"/>
    <tableColumn name="Estado" id="3"/>
  </tableColumns>
  <tableStyleInfo name="Tipo Ingresos-style" showColumnStripes="0" showFirstColumn="1" showLastColumn="1" showRowStripes="1"/>
</table>
</file>

<file path=xl/tables/table12.xml><?xml version="1.0" encoding="utf-8"?>
<table xmlns="http://schemas.openxmlformats.org/spreadsheetml/2006/main" ref="A1:D9" displayName="Categorias" name="Categorias" id="12">
  <tableColumns count="4">
    <tableColumn name="ID" id="1"/>
    <tableColumn name="Descripción" id="2"/>
    <tableColumn name="Estado" id="3"/>
    <tableColumn name="Columna 1" id="4"/>
  </tableColumns>
  <tableStyleInfo name="Categor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23T22:07:08.00" personId="{b56ece26-bdc1-4f13-96b7-39ec2c2bf3ad}" id="{8989d6e3-f595-4137-bc45-3501586a35c8}" done="0">
    <x18tc:text xml:space="preserve">Verificar:
Gaby: 3 jugadoras=$90.000.
Anabella: $ 120.000</x18tc:text>
  </x18tc:threadedComment>
  <x18tc:threadedComment ref="A1" dT="2026-09-26T16:25:56.00" personId="{b56ece26-bdc1-4f13-96b7-39ec2c2bf3ad}" id="{de2f2a5f-05ef-4b67-83ad-2df1dd18457f}" done="0">
    <x18tc:text xml:space="preserve">Verificar:
Gaby: 4 jugadoras=$120.000.
Anabella: $ 150.000</x18tc:text>
  </x18tc:threadedComment>
  <x18tc:threadedComment ref="A1" dT="2026-09-26T17:55:52.00" personId="{b56ece26-bdc1-4f13-96b7-39ec2c2bf3ad}" id="{23aa5b5c-482a-4d8c-9d8d-f118b236636b}" done="0">
    <x18tc:text xml:space="preserve">Tengo comprobantes por $ 1.320.000 pero en planilla de Anabella solo hay $ 320.000</x18tc:text>
  </x18tc:threadedComment>
  <x18tc:threadedComment ref="A1" dT="2026-09-26T21:30:48.00" personId="{b56ece26-bdc1-4f13-96b7-39ec2c2bf3ad}" id="{2922a050-25dd-4b7c-9c16-0408212097ab}" done="0">
    <x18tc:text xml:space="preserve">Verificar número en rojo en planilla de PS</x18tc:text>
  </x18tc:threadedComment>
  <x18tc:threadedComment ref="A1" dT="2026-09-26T21:31:45.00" personId="{b56ece26-bdc1-4f13-96b7-39ec2c2bf3ad}" id="{26768c91-a808-41b4-9f9d-46a96dee5f2b}" done="0">
    <x18tc:text xml:space="preserve">Verificar número en rojo en planilla de PS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3.xml"/><Relationship Id="rId4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s6JkoFPvNb9jzSDo_hGG--xpU9kp3IT2/view?usp=drive_link" TargetMode="External"/><Relationship Id="rId42" Type="http://schemas.openxmlformats.org/officeDocument/2006/relationships/hyperlink" Target="https://drive.google.com/file/d/1ooVaRCZ89GGja96HzF6kwDqwTzHCYGGN/view?usp=drive_link" TargetMode="External"/><Relationship Id="rId41" Type="http://schemas.openxmlformats.org/officeDocument/2006/relationships/hyperlink" Target="https://drive.google.com/file/d/1THfFCSq3pZVTflFotcKnQN1n-bfPM9Ee/view?usp=drive_link" TargetMode="External"/><Relationship Id="rId44" Type="http://schemas.openxmlformats.org/officeDocument/2006/relationships/hyperlink" Target="https://drive.google.com/file/d/1Wfc0DTNAzI2nxcZMoAhxQuJWektB7bST/view?usp=drive_link" TargetMode="External"/><Relationship Id="rId43" Type="http://schemas.openxmlformats.org/officeDocument/2006/relationships/hyperlink" Target="https://drive.google.com/file/d/1J_EI7c907B3qLUFhmVRJr1YuveiTqHOG/view?usp=drive_link" TargetMode="External"/><Relationship Id="rId46" Type="http://schemas.openxmlformats.org/officeDocument/2006/relationships/hyperlink" Target="https://drive.google.com/file/d/1yvaOhIBTcMbM9dz-QRt5gK0i37mHzEsd/view?usp=drive_link" TargetMode="External"/><Relationship Id="rId45" Type="http://schemas.openxmlformats.org/officeDocument/2006/relationships/hyperlink" Target="https://drive.google.com/file/d/14KwPaE6PvR-9LOr0pYEBJoQEVfBbnWTh/view?usp=drive_link" TargetMode="External"/><Relationship Id="rId107" Type="http://schemas.openxmlformats.org/officeDocument/2006/relationships/hyperlink" Target="https://drive.google.com/file/d/17OTbN0lWQZlhkyT9BynudGj-Sc9p2uaN/view?usp=drive_link" TargetMode="External"/><Relationship Id="rId106" Type="http://schemas.openxmlformats.org/officeDocument/2006/relationships/hyperlink" Target="https://drive.google.com/file/d/1D7Xvmcq0n_KIOZpXuum_XRti01wxN8hv/view?usp=drive_link" TargetMode="External"/><Relationship Id="rId105" Type="http://schemas.openxmlformats.org/officeDocument/2006/relationships/hyperlink" Target="https://drive.google.com/file/d/11GAHb1bbzjtO51m0CL4O_kZNbnUGqz0p/view?usp=drive_link" TargetMode="External"/><Relationship Id="rId104" Type="http://schemas.openxmlformats.org/officeDocument/2006/relationships/hyperlink" Target="https://drive.google.com/file/d/1WeYB7DAWTANbV9DrwGnmFVBYU2yl9w8V/view?usp=drive_link" TargetMode="External"/><Relationship Id="rId108" Type="http://schemas.openxmlformats.org/officeDocument/2006/relationships/drawing" Target="../drawings/drawing4.xml"/><Relationship Id="rId48" Type="http://schemas.openxmlformats.org/officeDocument/2006/relationships/hyperlink" Target="https://drive.google.com/file/d/1MvmPhQ22Q3BFUA-sSOtIULsJtJygrvct/view?usp=drive_link" TargetMode="External"/><Relationship Id="rId47" Type="http://schemas.openxmlformats.org/officeDocument/2006/relationships/hyperlink" Target="https://drive.google.com/file/d/1dUYI-a0wR1JfH1x22W3qArlXxsqN-4mL/view?usp=drive_link" TargetMode="External"/><Relationship Id="rId49" Type="http://schemas.openxmlformats.org/officeDocument/2006/relationships/hyperlink" Target="https://drive.google.com/file/d/1qx3P3-1g68z9Nr0KIdK-RvSMVaBMIzgI/view?usp=drive_link" TargetMode="External"/><Relationship Id="rId103" Type="http://schemas.openxmlformats.org/officeDocument/2006/relationships/hyperlink" Target="https://drive.google.com/file/d/1Qdnaibidlg4C4Iwx8pOba_s5zkHFkjO4/view?usp=drive_link" TargetMode="External"/><Relationship Id="rId102" Type="http://schemas.openxmlformats.org/officeDocument/2006/relationships/hyperlink" Target="https://drive.google.com/file/d/1FZ2TaKV2BJP_c8hTFHJN2AnAwiVy6c8a/view?usp=drive_link" TargetMode="External"/><Relationship Id="rId101" Type="http://schemas.openxmlformats.org/officeDocument/2006/relationships/hyperlink" Target="https://drive.google.com/file/d/1GaU-aZThOOJud3VCLTQWrLG47R9xUWUD/view?usp=drive_link" TargetMode="External"/><Relationship Id="rId100" Type="http://schemas.openxmlformats.org/officeDocument/2006/relationships/hyperlink" Target="https://drive.google.com/file/d/1wypuqRyJXL0v_4zd-dLWOeZDB0ezeOrY/view?usp=drive_link" TargetMode="External"/><Relationship Id="rId31" Type="http://schemas.openxmlformats.org/officeDocument/2006/relationships/hyperlink" Target="https://drive.google.com/file/d/1oNx-mQmboKRBf3Tama3CS_5iUtqUBAvF/view?usp=drive_link" TargetMode="External"/><Relationship Id="rId30" Type="http://schemas.openxmlformats.org/officeDocument/2006/relationships/hyperlink" Target="https://drive.google.com/file/d/1dSU-YqhR0yQ0gunbxdIrhsKuAWHf1D_u/view?usp=drive_link" TargetMode="External"/><Relationship Id="rId33" Type="http://schemas.openxmlformats.org/officeDocument/2006/relationships/hyperlink" Target="https://drive.google.com/file/d/1m9wJrgTPH7s_5eVzweL_uAv-GVQbDVM2/view?usp=drive_link" TargetMode="External"/><Relationship Id="rId32" Type="http://schemas.openxmlformats.org/officeDocument/2006/relationships/hyperlink" Target="https://drive.google.com/file/d/1OGWqe0-p1bCEwBlGgtdIxRdXfszkesXE/view?usp=drive_link" TargetMode="External"/><Relationship Id="rId35" Type="http://schemas.openxmlformats.org/officeDocument/2006/relationships/hyperlink" Target="https://drive.google.com/file/d/1vTBDLevW5y_f7LuV8uWBCe2G7i1jIdJh/view?usp=drive_link" TargetMode="External"/><Relationship Id="rId34" Type="http://schemas.openxmlformats.org/officeDocument/2006/relationships/hyperlink" Target="https://drive.google.com/file/d/12CWt4TgPxYp_C0kVTunuZgAau6KWSIk3/view?usp=drive_link" TargetMode="External"/><Relationship Id="rId37" Type="http://schemas.openxmlformats.org/officeDocument/2006/relationships/hyperlink" Target="https://drive.google.com/file/d/1XX5tG30k2E9wxxhMrn7mH4HGZySEGne3/view?usp=drive_link" TargetMode="External"/><Relationship Id="rId36" Type="http://schemas.openxmlformats.org/officeDocument/2006/relationships/hyperlink" Target="https://drive.google.com/file/d/1tFomfnmmiEKNSQyl4EyJaNueJIkuA9Wf/view?usp=drive_link" TargetMode="External"/><Relationship Id="rId39" Type="http://schemas.openxmlformats.org/officeDocument/2006/relationships/hyperlink" Target="https://drive.google.com/file/d/111UM5ZDKywCbqvlMn_2lpzcox8dtVR8c/view?usp=drive_link" TargetMode="External"/><Relationship Id="rId38" Type="http://schemas.openxmlformats.org/officeDocument/2006/relationships/hyperlink" Target="https://drive.google.com/file/d/1qZyhISImR0hilITUIl6QCpNrIaHX9-px/view?usp=drive_link" TargetMode="External"/><Relationship Id="rId20" Type="http://schemas.openxmlformats.org/officeDocument/2006/relationships/hyperlink" Target="https://drive.google.com/file/d/1EShiuEUU-xaABMdJV9KJmKqTf5lZnIsp/view?usp=drive_link" TargetMode="External"/><Relationship Id="rId22" Type="http://schemas.openxmlformats.org/officeDocument/2006/relationships/hyperlink" Target="https://drive.google.com/file/d/1j0kZYgSz5MALLU9SVRaP3aDtDRr9r4U0/view?usp=drive_link" TargetMode="External"/><Relationship Id="rId21" Type="http://schemas.openxmlformats.org/officeDocument/2006/relationships/hyperlink" Target="https://drive.google.com/file/d/1IG3MTe3V2TYVvDODEcrDRqgGewO5qRMS/view?usp=drive_link" TargetMode="External"/><Relationship Id="rId24" Type="http://schemas.openxmlformats.org/officeDocument/2006/relationships/hyperlink" Target="https://drive.google.com/file/d/10wUhUTJEGFZ8uuSO6o6QDOKp45r9xcXE/view?usp=drive_link" TargetMode="External"/><Relationship Id="rId23" Type="http://schemas.openxmlformats.org/officeDocument/2006/relationships/hyperlink" Target="https://drive.google.com/file/d/1qp0LyWzJfw0WiAQv5UKUEHuggyAJtnSc/view?usp=drive_link" TargetMode="External"/><Relationship Id="rId26" Type="http://schemas.openxmlformats.org/officeDocument/2006/relationships/hyperlink" Target="https://drive.google.com/file/d/1C9wtO17iXm_2SImnluZ41yQETfO3eeqb/view?usp=drive_link" TargetMode="External"/><Relationship Id="rId25" Type="http://schemas.openxmlformats.org/officeDocument/2006/relationships/hyperlink" Target="https://drive.google.com/file/d/13R1Gu_TF83LD9CcNyEhMzkGzckKfrY1u/view?usp=drive_link" TargetMode="External"/><Relationship Id="rId28" Type="http://schemas.openxmlformats.org/officeDocument/2006/relationships/hyperlink" Target="https://drive.google.com/file/d/11NgwdUk9Ft1gOazIvlGapC-Pz5rFWcuH/view?usp=drive_link" TargetMode="External"/><Relationship Id="rId27" Type="http://schemas.openxmlformats.org/officeDocument/2006/relationships/hyperlink" Target="https://drive.google.com/file/d/1eP4qnlA3J5gP_CgmRaqfVL3SXMzJwcrJ/view?usp=drive_link" TargetMode="External"/><Relationship Id="rId29" Type="http://schemas.openxmlformats.org/officeDocument/2006/relationships/hyperlink" Target="https://drive.google.com/file/d/1UE7srR1zUP5Q0qJIHR_dtrZgnx0bVM2O/view?usp=drive_link" TargetMode="External"/><Relationship Id="rId95" Type="http://schemas.openxmlformats.org/officeDocument/2006/relationships/hyperlink" Target="https://drive.google.com/file/d/16Z1aMuDY_RVb0kT5QlzSoUsFu3LK_A8H/view?usp=drive_link" TargetMode="External"/><Relationship Id="rId94" Type="http://schemas.openxmlformats.org/officeDocument/2006/relationships/hyperlink" Target="https://drive.google.com/file/d/19vEJDuWdJ24aW1kQYZcdknbTF7cg51Nb/view?usp=drive_link" TargetMode="External"/><Relationship Id="rId97" Type="http://schemas.openxmlformats.org/officeDocument/2006/relationships/hyperlink" Target="https://drive.google.com/file/d/1M-GVR5Mlug6xXsCrAS_XudidCiX5SH5k/view?usp=drive_link" TargetMode="External"/><Relationship Id="rId96" Type="http://schemas.openxmlformats.org/officeDocument/2006/relationships/hyperlink" Target="https://drive.google.com/file/d/1o8nfExAXZk5Q2fPNlvS3kZGL-gCSLIOq/view?usp=drive_link" TargetMode="External"/><Relationship Id="rId11" Type="http://schemas.openxmlformats.org/officeDocument/2006/relationships/hyperlink" Target="https://drive.google.com/file/d/1ptQuS9RpeEnZO0CVvA0hUFg6kLCdN2z9/view?usp=drive_link" TargetMode="External"/><Relationship Id="rId99" Type="http://schemas.openxmlformats.org/officeDocument/2006/relationships/hyperlink" Target="https://drive.google.com/file/d/1iiOFgD92qR98H_zctHFNPSY_r8a_FGPP/view?usp=drive_link" TargetMode="External"/><Relationship Id="rId10" Type="http://schemas.openxmlformats.org/officeDocument/2006/relationships/hyperlink" Target="https://drive.google.com/file/d/1SB3QJeOsKDZ4-RiBDFpbIrlAhS-Gs1jK/view?usp=drive_link" TargetMode="External"/><Relationship Id="rId98" Type="http://schemas.openxmlformats.org/officeDocument/2006/relationships/hyperlink" Target="https://drive.google.com/file/d/1GSpifAz8cPDrqUKN_JTtDKrQmhLQUa39/view?usp=drive_link" TargetMode="External"/><Relationship Id="rId13" Type="http://schemas.openxmlformats.org/officeDocument/2006/relationships/hyperlink" Target="https://drive.google.com/file/d/1xeNQcVS4uMDty8fKojRjoC2yE49Qbcmk/view?usp=drive_link" TargetMode="External"/><Relationship Id="rId12" Type="http://schemas.openxmlformats.org/officeDocument/2006/relationships/hyperlink" Target="https://drive.google.com/file/d/1J8hCTBzAy6B_D5IPqU2gaYNVCNCLIs8J/view?usp=drive_link" TargetMode="External"/><Relationship Id="rId91" Type="http://schemas.openxmlformats.org/officeDocument/2006/relationships/hyperlink" Target="https://drive.google.com/file/d/13rGIvWPzEDTkgvkjUU7KD93Rk8nab5-8/view?usp=drive_link" TargetMode="External"/><Relationship Id="rId90" Type="http://schemas.openxmlformats.org/officeDocument/2006/relationships/hyperlink" Target="https://drive.google.com/file/d/1lMYvt8aAwHW5z6urOTHgnaDXdL3WUbe4/view?usp=drive_link" TargetMode="External"/><Relationship Id="rId93" Type="http://schemas.openxmlformats.org/officeDocument/2006/relationships/hyperlink" Target="https://drive.google.com/file/d/18B22_ZxjcTI4AXmpVcdWyZcue5wTojMV/view?usp=drive_link" TargetMode="External"/><Relationship Id="rId92" Type="http://schemas.openxmlformats.org/officeDocument/2006/relationships/hyperlink" Target="https://drive.google.com/file/d/17_IS4Wo3b58UbphnvlnyJkGn0AfX-mpA/view?usp=drive_link" TargetMode="External"/><Relationship Id="rId15" Type="http://schemas.openxmlformats.org/officeDocument/2006/relationships/hyperlink" Target="https://drive.google.com/file/d/1s2a0OZ5xnc7jyyuLnbAXgXGPLwGP1ibE/view?usp=drive_link" TargetMode="External"/><Relationship Id="rId110" Type="http://schemas.openxmlformats.org/officeDocument/2006/relationships/table" Target="../tables/table6.xml"/><Relationship Id="rId14" Type="http://schemas.openxmlformats.org/officeDocument/2006/relationships/hyperlink" Target="https://drive.google.com/file/d/1kcesXMeZ0hTzbZ2EaiNaboS03zEX_I5e/view?usp=drive_link" TargetMode="External"/><Relationship Id="rId17" Type="http://schemas.openxmlformats.org/officeDocument/2006/relationships/hyperlink" Target="https://drive.google.com/file/d/1QRUm8y8-S-hOja6-q1DpH1FD6LoIqAt-/view?usp=drive_link" TargetMode="External"/><Relationship Id="rId16" Type="http://schemas.openxmlformats.org/officeDocument/2006/relationships/hyperlink" Target="https://drive.google.com/file/d/1FX3TWuI6w9nDYtp1X1N-sEGg6kv_cn5B/view?usp=drive_link" TargetMode="External"/><Relationship Id="rId19" Type="http://schemas.openxmlformats.org/officeDocument/2006/relationships/hyperlink" Target="https://drive.google.com/file/d/1HQ2TfUi9apBduSvuC2X7juV5ODSzaq6F/view?usp=drive_link" TargetMode="External"/><Relationship Id="rId18" Type="http://schemas.openxmlformats.org/officeDocument/2006/relationships/hyperlink" Target="https://drive.google.com/file/d/1tjY_qoszxsGRIFe_GefHcMmBEZoT2xn-/view?usp=drive_link" TargetMode="External"/><Relationship Id="rId84" Type="http://schemas.openxmlformats.org/officeDocument/2006/relationships/hyperlink" Target="https://drive.google.com/file/d/1dpVR3KndSaz1Vi_d4iC50iekMfCR928W/view?usp=drive_link" TargetMode="External"/><Relationship Id="rId83" Type="http://schemas.openxmlformats.org/officeDocument/2006/relationships/hyperlink" Target="https://drive.google.com/file/d/1WalDdv_cJlAbWpi6F7GBMzXkyTvjuePC/view?usp=drive_link" TargetMode="External"/><Relationship Id="rId86" Type="http://schemas.openxmlformats.org/officeDocument/2006/relationships/hyperlink" Target="https://drive.google.com/file/d/1q0v1eAAcvWAoi_CfUketXMEVM20CRiBx/view?usp=drive_link" TargetMode="External"/><Relationship Id="rId85" Type="http://schemas.openxmlformats.org/officeDocument/2006/relationships/hyperlink" Target="https://drive.google.com/file/d/1rqKU-v3tkbBCyBWp45ubRPeAWbdowB6A/view?usp=drive_link" TargetMode="External"/><Relationship Id="rId88" Type="http://schemas.openxmlformats.org/officeDocument/2006/relationships/hyperlink" Target="https://drive.google.com/file/d/1wdDIZegFURFxK4EkwteGjqjaWZJ8Tbia/view?usp=drive_link" TargetMode="External"/><Relationship Id="rId87" Type="http://schemas.openxmlformats.org/officeDocument/2006/relationships/hyperlink" Target="https://drive.google.com/file/d/18VzTV0MBgn1NQLB7k9fwKcwRC7syboWi/view?usp=drive_link" TargetMode="External"/><Relationship Id="rId89" Type="http://schemas.openxmlformats.org/officeDocument/2006/relationships/hyperlink" Target="https://drive.google.com/file/d/1h3qADm8WGbfDtaw645Sy7EzdxMO5iOfN/view?usp=drive_link" TargetMode="External"/><Relationship Id="rId80" Type="http://schemas.openxmlformats.org/officeDocument/2006/relationships/hyperlink" Target="https://drive.google.com/file/d/1Tk0vqXumEaqtiBTPlNp19Tw7wj57mAYC/view?usp=drive_link" TargetMode="External"/><Relationship Id="rId82" Type="http://schemas.openxmlformats.org/officeDocument/2006/relationships/hyperlink" Target="https://drive.google.com/file/d/10QvNT1HAeyLqwVtCnXYAlqFfuRc2HNxD/view?usp=drive_link" TargetMode="External"/><Relationship Id="rId81" Type="http://schemas.openxmlformats.org/officeDocument/2006/relationships/hyperlink" Target="https://drive.google.com/file/d/1qS4xdAZxItfCom-Ew0eUR9D6EKjEip6H/view?usp=drive_link" TargetMode="External"/><Relationship Id="rId1" Type="http://schemas.openxmlformats.org/officeDocument/2006/relationships/pivotTable" Target="../pivotTables/pivotTable4.xml"/><Relationship Id="rId2" Type="http://schemas.openxmlformats.org/officeDocument/2006/relationships/hyperlink" Target="https://drive.google.com/file/d/1odB3lKHi5dvFWVLvKS6-d-GbAMHOimip/view?usp=drive_link" TargetMode="External"/><Relationship Id="rId3" Type="http://schemas.openxmlformats.org/officeDocument/2006/relationships/hyperlink" Target="https://drive.google.com/file/d/1NEPVPtYvPHxgjyL8EtyHlLenEVme48rB/view?usp=drive_link" TargetMode="External"/><Relationship Id="rId4" Type="http://schemas.openxmlformats.org/officeDocument/2006/relationships/hyperlink" Target="https://drive.google.com/file/d/1M0ZTByCm-LaeqVb_NrOfTMdniDg84yy0/view?usp=drive_link" TargetMode="External"/><Relationship Id="rId9" Type="http://schemas.openxmlformats.org/officeDocument/2006/relationships/hyperlink" Target="https://drive.google.com/file/d/1_lVmsvYDN1wtpWA2qFm5L9DICrb7IONp/view?usp=drive_link" TargetMode="External"/><Relationship Id="rId5" Type="http://schemas.openxmlformats.org/officeDocument/2006/relationships/hyperlink" Target="https://drive.google.com/file/d/1_rirJ9XoBMKSMxGNomNVCBJv2RDwCpWH/view?usp=drive_link" TargetMode="External"/><Relationship Id="rId6" Type="http://schemas.openxmlformats.org/officeDocument/2006/relationships/hyperlink" Target="https://drive.google.com/file/d/1GF2VL_taer_2Sk4_BYGWlh2fEYdpE4uA/view?usp=drive_link" TargetMode="External"/><Relationship Id="rId7" Type="http://schemas.openxmlformats.org/officeDocument/2006/relationships/hyperlink" Target="https://drive.google.com/file/d/1Ecqncn8NHlbbfXhETkQ23BOQpaYo4ozy/view?usp=drive_link" TargetMode="External"/><Relationship Id="rId8" Type="http://schemas.openxmlformats.org/officeDocument/2006/relationships/hyperlink" Target="https://drive.google.com/file/d/1BsFEMpjRaAyd_neR75bcgSlBweEJU8TJ/view?usp=drive_link" TargetMode="External"/><Relationship Id="rId73" Type="http://schemas.openxmlformats.org/officeDocument/2006/relationships/hyperlink" Target="https://drive.google.com/file/d/1V5_ay3rjEEbqRdxP4onHnNA1dsW6PTaA/view?usp=drive_link" TargetMode="External"/><Relationship Id="rId72" Type="http://schemas.openxmlformats.org/officeDocument/2006/relationships/hyperlink" Target="https://drive.google.com/file/d/1Yln-wldgbnFAQgVg289ngut9E914Tx8C/view?usp=drive_link" TargetMode="External"/><Relationship Id="rId75" Type="http://schemas.openxmlformats.org/officeDocument/2006/relationships/hyperlink" Target="https://drive.google.com/file/d/1lm7LXTexddubfivWqfu9iM-HSvI9UC3W/view?usp=drive_link" TargetMode="External"/><Relationship Id="rId74" Type="http://schemas.openxmlformats.org/officeDocument/2006/relationships/hyperlink" Target="https://drive.google.com/file/d/1tuc-A3CalJ7yv5v813KObb2ftPz1hix2/view?usp=drive_link" TargetMode="External"/><Relationship Id="rId77" Type="http://schemas.openxmlformats.org/officeDocument/2006/relationships/hyperlink" Target="https://drive.google.com/file/d/1SPSfy5bFKwuIZZz85ud8jou7dBRXEoz2/view?usp=drive_link" TargetMode="External"/><Relationship Id="rId76" Type="http://schemas.openxmlformats.org/officeDocument/2006/relationships/hyperlink" Target="https://drive.google.com/file/d/1WDwYttVGQYOBuYmdZ8iWteSfG44nZEIf/view?usp=drive_link" TargetMode="External"/><Relationship Id="rId79" Type="http://schemas.openxmlformats.org/officeDocument/2006/relationships/hyperlink" Target="https://drive.google.com/file/d/15CMmPBRgRYfFvAC0oe6Wm7ewoKppximt/view?usp=drive_link" TargetMode="External"/><Relationship Id="rId78" Type="http://schemas.openxmlformats.org/officeDocument/2006/relationships/hyperlink" Target="https://drive.google.com/file/d/1BSm6tWQ2LCPCvmsLHeTIK5r-nEox3HyS/view?usp=drive_link" TargetMode="External"/><Relationship Id="rId71" Type="http://schemas.openxmlformats.org/officeDocument/2006/relationships/hyperlink" Target="https://drive.google.com/file/d/161aMTTi_V5SKzJGl0O8yqOBQQL8af3jA/view?usp=drive_link" TargetMode="External"/><Relationship Id="rId70" Type="http://schemas.openxmlformats.org/officeDocument/2006/relationships/hyperlink" Target="https://drive.google.com/file/d/11zwAhpOPPBnEwIfueV0UsTlFbYWqaM2e/view?usp=drive_link" TargetMode="External"/><Relationship Id="rId62" Type="http://schemas.openxmlformats.org/officeDocument/2006/relationships/hyperlink" Target="https://drive.google.com/file/d/1VjOTZi8mLge1EOalaPlwpDCbBxd0S_gA/view?usp=drive_link" TargetMode="External"/><Relationship Id="rId61" Type="http://schemas.openxmlformats.org/officeDocument/2006/relationships/hyperlink" Target="https://drive.google.com/file/d/1-eaWXPBcfx1VeLldDWdXzUbmewx3Fcrn/view?usp=drive_link" TargetMode="External"/><Relationship Id="rId64" Type="http://schemas.openxmlformats.org/officeDocument/2006/relationships/hyperlink" Target="https://drive.google.com/file/d/1qfKCHokGwPzYX8Iqc65jgAKq2-8V0uau/view?usp=drive_link" TargetMode="External"/><Relationship Id="rId63" Type="http://schemas.openxmlformats.org/officeDocument/2006/relationships/hyperlink" Target="https://drive.google.com/file/d/1dXN9NK2oHa6cEh1nWq8ms-212dGipO2s/view?usp=drive_link" TargetMode="External"/><Relationship Id="rId66" Type="http://schemas.openxmlformats.org/officeDocument/2006/relationships/hyperlink" Target="https://drive.google.com/file/d/17qo9l2nBvz4H5n2oc88A9F0DNE29KWe3/view?usp=drive_link" TargetMode="External"/><Relationship Id="rId65" Type="http://schemas.openxmlformats.org/officeDocument/2006/relationships/hyperlink" Target="https://drive.google.com/file/d/17qo9l2nBvz4H5n2oc88A9F0DNE29KWe3/view?usp=drive_link" TargetMode="External"/><Relationship Id="rId68" Type="http://schemas.openxmlformats.org/officeDocument/2006/relationships/hyperlink" Target="https://drive.google.com/file/d/1_3MzyOvQ1fRfKdpGZFKd3WYLa2RheZoh/view?usp=drive_link" TargetMode="External"/><Relationship Id="rId67" Type="http://schemas.openxmlformats.org/officeDocument/2006/relationships/hyperlink" Target="https://drive.google.com/file/d/17qo9l2nBvz4H5n2oc88A9F0DNE29KWe3/view?usp=drive_link" TargetMode="External"/><Relationship Id="rId60" Type="http://schemas.openxmlformats.org/officeDocument/2006/relationships/hyperlink" Target="https://drive.google.com/file/d/1kxGOcxthq3b7h43DRapo15rvV6OGd6ej/view?usp=drive_link" TargetMode="External"/><Relationship Id="rId69" Type="http://schemas.openxmlformats.org/officeDocument/2006/relationships/hyperlink" Target="https://drive.google.com/file/d/1pOY8OLHyGsncEUvdalqcmHJapo8OSd3N/view?usp=drive_link" TargetMode="External"/><Relationship Id="rId51" Type="http://schemas.openxmlformats.org/officeDocument/2006/relationships/hyperlink" Target="https://drive.google.com/file/d/1Srf1COW35ocIXu3sDckSqVJYMyJIwnyj/view?usp=drive_link" TargetMode="External"/><Relationship Id="rId50" Type="http://schemas.openxmlformats.org/officeDocument/2006/relationships/hyperlink" Target="https://drive.google.com/file/d/1VkgbTpy4ieXjS1gHlHm7Ga2y-72xb1Wh/view?usp=drive_link" TargetMode="External"/><Relationship Id="rId53" Type="http://schemas.openxmlformats.org/officeDocument/2006/relationships/hyperlink" Target="https://drive.google.com/file/d/1XGX1Io9xAzqpOy9sJ1e_FGwNrFwn7RJ_/view?usp=drive_link" TargetMode="External"/><Relationship Id="rId52" Type="http://schemas.openxmlformats.org/officeDocument/2006/relationships/hyperlink" Target="https://drive.google.com/file/d/1dN_gfBDWrnq82HJEqxof-B55Gc4M-Beq/view?usp=drive_link" TargetMode="External"/><Relationship Id="rId55" Type="http://schemas.openxmlformats.org/officeDocument/2006/relationships/hyperlink" Target="https://drive.google.com/file/d/1cNS7TvJzjGqe2ukYV_QdSxDpA5MXG3dl/view?usp=drive_link" TargetMode="External"/><Relationship Id="rId54" Type="http://schemas.openxmlformats.org/officeDocument/2006/relationships/hyperlink" Target="https://drive.google.com/file/d/1XBkGhMIwoWHLgi-yzVbLanLa7_kvAGar/view?usp=drive_link" TargetMode="External"/><Relationship Id="rId57" Type="http://schemas.openxmlformats.org/officeDocument/2006/relationships/hyperlink" Target="https://drive.google.com/file/d/1PhqIA9mbWvNkrM2k0isL2ibpX5n4lwtL/view?usp=drive_link" TargetMode="External"/><Relationship Id="rId56" Type="http://schemas.openxmlformats.org/officeDocument/2006/relationships/hyperlink" Target="https://drive.google.com/file/d/1Een3zrf5EB1QEc5lULpZ54lwBnVFhs2-/view?usp=drive_link" TargetMode="External"/><Relationship Id="rId59" Type="http://schemas.openxmlformats.org/officeDocument/2006/relationships/hyperlink" Target="https://drive.google.com/file/d/1RCTCtO5K63BnSbS5A9yXvKh0dzIbgtM_/view?usp=drive_link" TargetMode="External"/><Relationship Id="rId58" Type="http://schemas.openxmlformats.org/officeDocument/2006/relationships/hyperlink" Target="https://drive.google.com/file/d/1WB0uiDDfhYr_1kU0dWA1xfy-LN_ZuUeH/view?usp=drive_link" TargetMode="External"/></Relationships>
</file>

<file path=xl/worksheets/_rels/sheet5.xml.rels><?xml version="1.0" encoding="UTF-8" standalone="yes"?><Relationships xmlns="http://schemas.openxmlformats.org/package/2006/relationships"><Relationship Id="rId31" Type="http://schemas.openxmlformats.org/officeDocument/2006/relationships/hyperlink" Target="https://drive.google.com/file/d/1bYQVjRo4hQabBTNZPMEfBFenylZJvrKX/view?usp=drive_link" TargetMode="External"/><Relationship Id="rId30" Type="http://schemas.openxmlformats.org/officeDocument/2006/relationships/hyperlink" Target="https://drive.google.com/file/d/1E0zflL3m8LaeVUyQXnnwCfWzNYLqeWeH/view?usp=drive_link" TargetMode="External"/><Relationship Id="rId33" Type="http://schemas.openxmlformats.org/officeDocument/2006/relationships/hyperlink" Target="https://drive.google.com/file/d/15ABofo8xsylTh0LiURjIYZIzYkzr8WXq/view?usp=drive_link" TargetMode="External"/><Relationship Id="rId32" Type="http://schemas.openxmlformats.org/officeDocument/2006/relationships/hyperlink" Target="https://drive.google.com/file/d/1MxE_1lztJ4Z1bGjDGVepgVtbzvATpmwX/view?usp=drive_link" TargetMode="External"/><Relationship Id="rId34" Type="http://schemas.openxmlformats.org/officeDocument/2006/relationships/drawing" Target="../drawings/drawing5.xml"/><Relationship Id="rId36" Type="http://schemas.openxmlformats.org/officeDocument/2006/relationships/table" Target="../tables/table7.xml"/><Relationship Id="rId20" Type="http://schemas.openxmlformats.org/officeDocument/2006/relationships/hyperlink" Target="https://drive.google.com/file/d/1G5flhQQ-xZttxFOh9pra5QYLFbG1tHN1/view?usp=drive_link" TargetMode="External"/><Relationship Id="rId22" Type="http://schemas.openxmlformats.org/officeDocument/2006/relationships/hyperlink" Target="https://drive.google.com/file/d/1ax2XOHmN2gcRzdxJbCBYh9qLaR-F5ZfY/view?usp=drive_link" TargetMode="External"/><Relationship Id="rId21" Type="http://schemas.openxmlformats.org/officeDocument/2006/relationships/hyperlink" Target="https://drive.google.com/file/d/1kSIPSGyVUHUPWSmZ-6w-_cHq4n0o3XJf/view?usp=drive_link" TargetMode="External"/><Relationship Id="rId24" Type="http://schemas.openxmlformats.org/officeDocument/2006/relationships/hyperlink" Target="https://drive.google.com/file/d/1vy5T_SvKi3uN_dMWxUmfXPbSwG7PJBQI/view?usp=drive_link" TargetMode="External"/><Relationship Id="rId23" Type="http://schemas.openxmlformats.org/officeDocument/2006/relationships/hyperlink" Target="https://drive.google.com/file/d/1ZYC00NHDxO_TELCFk3GMTp_CctaL7AYs/view?usp=drive_link" TargetMode="External"/><Relationship Id="rId26" Type="http://schemas.openxmlformats.org/officeDocument/2006/relationships/hyperlink" Target="https://drive.google.com/file/d/1TDrSRUhbHJ63O0rzwubggU3ylYwbvmmJ/view?usp=sharing" TargetMode="External"/><Relationship Id="rId25" Type="http://schemas.openxmlformats.org/officeDocument/2006/relationships/hyperlink" Target="https://drive.google.com/file/d/1c9MvPB2yuMEGxmovXlqPSNkXpToxan6X/view?usp=drive_link" TargetMode="External"/><Relationship Id="rId28" Type="http://schemas.openxmlformats.org/officeDocument/2006/relationships/hyperlink" Target="https://drive.google.com/file/d/1dlGlfvrppRQkgPJ4_THG4jppU51pHzH6/view?usp=drive_link" TargetMode="External"/><Relationship Id="rId27" Type="http://schemas.openxmlformats.org/officeDocument/2006/relationships/hyperlink" Target="https://drive.google.com/file/d/1icvJ6EBZW8GxsefWtt-uz5zgBXlbSl4d/view?usp=drive_link" TargetMode="External"/><Relationship Id="rId29" Type="http://schemas.openxmlformats.org/officeDocument/2006/relationships/hyperlink" Target="https://drive.google.com/file/d/12TdTekm9JYTu2-JklKbLP1VOUZkBpvhb/view?usp=drive_link" TargetMode="External"/><Relationship Id="rId11" Type="http://schemas.openxmlformats.org/officeDocument/2006/relationships/hyperlink" Target="https://drive.google.com/file/d/13n_OfiYJTT9ZdnDmL3-8xW3d2qvaskVP/view?usp=drive_link" TargetMode="External"/><Relationship Id="rId10" Type="http://schemas.openxmlformats.org/officeDocument/2006/relationships/hyperlink" Target="https://drive.google.com/file/d/1xP2jm9dGtuzHR666hPCXWyVp2gDxVMfW/view?usp=drive_link" TargetMode="External"/><Relationship Id="rId13" Type="http://schemas.openxmlformats.org/officeDocument/2006/relationships/hyperlink" Target="https://drive.google.com/file/d/1UevTweTMR4yHRINxc1VKlSoZZ4KXw-Ir/view?usp=drive_link" TargetMode="External"/><Relationship Id="rId12" Type="http://schemas.openxmlformats.org/officeDocument/2006/relationships/hyperlink" Target="https://drive.google.com/file/d/1Z_eZuf0euDkM5gAubkoAlnqTBHV1qrjz/view?usp=drive_link" TargetMode="External"/><Relationship Id="rId15" Type="http://schemas.openxmlformats.org/officeDocument/2006/relationships/hyperlink" Target="https://drive.google.com/file/d/1wDhVgcyrb_RdZkMYftoGkd6KAiuB39oi/view?usp=drive_link" TargetMode="External"/><Relationship Id="rId14" Type="http://schemas.openxmlformats.org/officeDocument/2006/relationships/hyperlink" Target="https://drive.google.com/file/d/1KE1NrDDFt5aNitbMsDg8_xjR4ToHUKkz/view?usp=drive_link" TargetMode="External"/><Relationship Id="rId17" Type="http://schemas.openxmlformats.org/officeDocument/2006/relationships/hyperlink" Target="https://drive.google.com/file/d/1YaSYwson0j6zmuXM8X3XpV24bv8Ip2TM/view?usp=drive_link" TargetMode="External"/><Relationship Id="rId16" Type="http://schemas.openxmlformats.org/officeDocument/2006/relationships/hyperlink" Target="https://drive.google.com/file/d/16wBTJA-pugJH3aKvaZzp8zT8mMmJOWQh/view?usp=drive_link" TargetMode="External"/><Relationship Id="rId19" Type="http://schemas.openxmlformats.org/officeDocument/2006/relationships/hyperlink" Target="https://drive.google.com/file/d/1xDroxWz8IPpZCtPk1CEccmH4YDx585JD/view?usp=drive_link" TargetMode="External"/><Relationship Id="rId18" Type="http://schemas.openxmlformats.org/officeDocument/2006/relationships/hyperlink" Target="https://drive.google.com/file/d/1h5IUNeByd-0k2dS56uBhNQIYFHtThiY7/view?usp=drive_link" TargetMode="External"/><Relationship Id="rId1" Type="http://schemas.openxmlformats.org/officeDocument/2006/relationships/hyperlink" Target="https://drive.google.com/file/d/1IM_p_fud1LUfBTcONK4GGwroVEfboxFs/view?usp=drive_link" TargetMode="External"/><Relationship Id="rId2" Type="http://schemas.openxmlformats.org/officeDocument/2006/relationships/hyperlink" Target="https://drive.google.com/file/d/1xdxh-taYhGmb82TeCVS0fHs7bptjbSq3/view?usp=drive_link" TargetMode="External"/><Relationship Id="rId3" Type="http://schemas.openxmlformats.org/officeDocument/2006/relationships/hyperlink" Target="https://drive.google.com/file/d/1dlGlfvrppRQkgPJ4_THG4jppU51pHzH6/view?usp=drive_link" TargetMode="External"/><Relationship Id="rId4" Type="http://schemas.openxmlformats.org/officeDocument/2006/relationships/hyperlink" Target="https://drive.google.com/file/d/1haf6nICnO9mwleqOMUtGQUVb6K0cR6Ir/view?usp=drive_link" TargetMode="External"/><Relationship Id="rId9" Type="http://schemas.openxmlformats.org/officeDocument/2006/relationships/hyperlink" Target="https://drive.google.com/file/d/1sFEqUE4VFRgF4ggBIzt0WsF3bpO7S7Mn/view?usp=drive_link" TargetMode="External"/><Relationship Id="rId5" Type="http://schemas.openxmlformats.org/officeDocument/2006/relationships/hyperlink" Target="https://drive.google.com/file/d/1ziS_TB7SXsq9x_jOO254jL_w3eYe6O8q/view?usp=drive_link" TargetMode="External"/><Relationship Id="rId6" Type="http://schemas.openxmlformats.org/officeDocument/2006/relationships/hyperlink" Target="https://drive.google.com/file/d/1yYSaJzyW_oen8hJEzh0nzPjzXTaNirSN/view?usp=drive_link" TargetMode="External"/><Relationship Id="rId7" Type="http://schemas.openxmlformats.org/officeDocument/2006/relationships/hyperlink" Target="https://drive.google.com/file/d/12TdTekm9JYTu2-JklKbLP1VOUZkBpvhb/view?usp=drive_link" TargetMode="External"/><Relationship Id="rId8" Type="http://schemas.openxmlformats.org/officeDocument/2006/relationships/hyperlink" Target="https://drive.google.com/file/d/1xdxh-taYhGmb82TeCVS0fHs7bptjbSq3/view?usp=drive_lin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14"/>
  </cols>
  <sheetData>
    <row r="1">
      <c r="A1" s="1"/>
      <c r="C1" s="2" t="str">
        <f>CONCATENATE(TEXT("01/01/2026","MM")," - ", TEXT("01/01/2026","MMMM"))</f>
        <v>01 - enero</v>
      </c>
      <c r="D1" s="2" t="str">
        <f>CONCATENATE(TEXT("01/02/2026","MM")," - ", TEXT("01/02/2026","MMMM"))</f>
        <v>02 - febrero</v>
      </c>
      <c r="E1" s="2" t="str">
        <f>CONCATENATE(TEXT("01/03/2026","MM")," - ", TEXT("01/03/2026","MMMM"))</f>
        <v>03 - marzo</v>
      </c>
      <c r="F1" s="2" t="str">
        <f>CONCATENATE(TEXT("01/04/2026","MM")," - ", TEXT("01/04/2026","MMMM"))</f>
        <v>04 - abril</v>
      </c>
      <c r="G1" s="2" t="str">
        <f>CONCATENATE(TEXT("01/05/2026","MM")," - ", TEXT("01/05/2026","MMMM"))</f>
        <v>05 - mayo</v>
      </c>
      <c r="H1" s="2" t="str">
        <f>CONCATENATE(TEXT("01/06/2026","MM")," - ", TEXT("01/06/2026","MMMM"))</f>
        <v>06 - junio</v>
      </c>
      <c r="I1" s="2" t="str">
        <f>CONCATENATE(TEXT("01/07/2026","MM")," - ", TEXT("01/07/2026","MMMM"))</f>
        <v>07 - julio</v>
      </c>
      <c r="J1" s="2" t="str">
        <f>CONCATENATE(TEXT("01/08/2026","MM")," - ", TEXT("01/08/2026","MMMM"))</f>
        <v>08 - agosto</v>
      </c>
      <c r="K1" s="2" t="str">
        <f>CONCATENATE(TEXT("01/09/2026","MM")," - ", TEXT("01/09/2026","MMMM"))</f>
        <v>09 - septiembre</v>
      </c>
      <c r="L1" s="2" t="str">
        <f>CONCATENATE(TEXT("01/10/2026","MM")," - ", TEXT("01/10/2026","MMMM"))</f>
        <v>10 - octubre</v>
      </c>
      <c r="M1" s="2" t="str">
        <f>CONCATENATE(TEXT("01/11/2026","MM")," - ", TEXT("01/11/2026","MMMM"))</f>
        <v>11 - noviembre</v>
      </c>
      <c r="N1" s="2" t="str">
        <f>CONCATENATE(TEXT("01/12/2026","MM")," - ", TEXT("01/12/2026","MMMM"))</f>
        <v>12 - diciembre</v>
      </c>
      <c r="O1" s="5" t="s">
        <v>9</v>
      </c>
    </row>
    <row r="2">
      <c r="A2" s="6" t="s">
        <v>10</v>
      </c>
      <c r="B2" s="7"/>
      <c r="O2" s="8"/>
    </row>
    <row r="3">
      <c r="A3" s="9" t="s">
        <v>13</v>
      </c>
      <c r="B3" s="9" t="s">
        <v>14</v>
      </c>
      <c r="C3" s="10">
        <v>1188056.1400000001</v>
      </c>
      <c r="D3" s="19">
        <f>SUMIFS(Registro[Importe],Registro[Mes], D$1, Registro[Categoria], $B3)</f>
        <v>0</v>
      </c>
      <c r="E3" s="19">
        <f>SUMIFS(Registro[Importe],Registro[Mes], E$1, Registro[Categoria], $B3)</f>
        <v>0</v>
      </c>
      <c r="F3" s="19">
        <f>SUMIFS(Registro[Importe],Registro[Mes], F$1, Registro[Categoria], $B3)</f>
        <v>0</v>
      </c>
      <c r="G3" s="19">
        <f>SUMIFS(Registro[Importe],Registro[Mes], G$1, Registro[Categoria], $B3)</f>
        <v>0</v>
      </c>
      <c r="H3" s="19">
        <f>SUMIFS(Registro[Importe],Registro[Mes], H$1, Registro[Categoria], $B3)</f>
        <v>0</v>
      </c>
      <c r="I3" s="19">
        <f>SUMIFS(Registro[Importe],Registro[Mes], I$1, Registro[Categoria], $B3)</f>
        <v>0</v>
      </c>
      <c r="J3" s="19">
        <f>SUMIFS(Registro[Importe],Registro[Mes], J$1, Registro[Categoria], $B3)</f>
        <v>0</v>
      </c>
      <c r="K3" s="19">
        <f>SUMIFS(Registro[Importe],Registro[Mes], K$1, Registro[Categoria], $B3)</f>
        <v>0</v>
      </c>
      <c r="L3" s="19">
        <f>SUMIFS(Registro[Importe],Registro[Mes], L$1, Registro[Categoria], $B3)</f>
        <v>0</v>
      </c>
      <c r="M3" s="19">
        <f>SUMIFS(Registro[Importe],Registro[Mes], M$1, Registro[Categoria], $B3)</f>
        <v>0</v>
      </c>
      <c r="N3" s="19">
        <f>SUMIFS(Registro[Importe],Registro[Mes], N$1, Registro[Categoria], $B3)</f>
        <v>0</v>
      </c>
      <c r="O3" s="28">
        <f t="shared" ref="O3:O4" si="1">SUM(C3:N3)</f>
        <v>1188056.14</v>
      </c>
    </row>
    <row r="4">
      <c r="A4" s="6"/>
      <c r="B4" s="9" t="s">
        <v>32</v>
      </c>
      <c r="C4" s="20">
        <v>2077471.13</v>
      </c>
      <c r="D4" s="19">
        <f>SUMIFS(Registro[Importe],Registro[Mes], D$1, Registro[Categoria], $B4)</f>
        <v>0</v>
      </c>
      <c r="E4" s="19">
        <f>SUMIFS(Registro[Importe],Registro[Mes], E$1, Registro[Categoria], $B4)</f>
        <v>0</v>
      </c>
      <c r="F4" s="19">
        <f>SUMIFS(Registro[Importe],Registro[Mes], F$1, Registro[Categoria], $B4)</f>
        <v>0</v>
      </c>
      <c r="G4" s="19">
        <f>SUMIFS(Registro[Importe],Registro[Mes], G$1, Registro[Categoria], $B4)</f>
        <v>0</v>
      </c>
      <c r="H4" s="19">
        <f>SUMIFS(Registro[Importe],Registro[Mes], H$1, Registro[Categoria], $B4)</f>
        <v>0</v>
      </c>
      <c r="I4" s="19">
        <f>SUMIFS(Registro[Importe],Registro[Mes], I$1, Registro[Categoria], $B4)</f>
        <v>0</v>
      </c>
      <c r="J4" s="19">
        <f>SUMIFS(Registro[Importe],Registro[Mes], J$1, Registro[Categoria], $B4)</f>
        <v>0</v>
      </c>
      <c r="K4" s="19">
        <f>SUMIFS(Registro[Importe],Registro[Mes], K$1, Registro[Categoria], $B4)</f>
        <v>0</v>
      </c>
      <c r="L4" s="19">
        <f>SUMIFS(Registro[Importe],Registro[Mes], L$1, Registro[Categoria], $B4)</f>
        <v>0</v>
      </c>
      <c r="M4" s="19">
        <f>SUMIFS(Registro[Importe],Registro[Mes], M$1, Registro[Categoria], $B4)</f>
        <v>0</v>
      </c>
      <c r="N4" s="19">
        <f>SUMIFS(Registro[Importe],Registro[Mes], N$1, Registro[Categoria], $B4)</f>
        <v>0</v>
      </c>
      <c r="O4" s="21">
        <f t="shared" si="1"/>
        <v>2077471.13</v>
      </c>
    </row>
    <row r="5">
      <c r="A5" s="6"/>
      <c r="B5" s="7"/>
      <c r="C5" s="32">
        <f>C3+C4</f>
        <v>3265527.27</v>
      </c>
      <c r="D5" s="19">
        <f t="shared" ref="D5:N5" si="2">C37</f>
        <v>3265527.27</v>
      </c>
      <c r="E5" s="19">
        <f t="shared" si="2"/>
        <v>4550527.27</v>
      </c>
      <c r="F5" s="19">
        <f t="shared" si="2"/>
        <v>4242171.19</v>
      </c>
      <c r="G5" s="19">
        <f t="shared" si="2"/>
        <v>3997352.86</v>
      </c>
      <c r="H5" s="19">
        <f t="shared" si="2"/>
        <v>3684450.14</v>
      </c>
      <c r="I5" s="19">
        <f t="shared" si="2"/>
        <v>3583929.14</v>
      </c>
      <c r="J5" s="19">
        <f t="shared" si="2"/>
        <v>3697699.14</v>
      </c>
      <c r="K5" s="19">
        <f t="shared" si="2"/>
        <v>3837504.14</v>
      </c>
      <c r="L5" s="19">
        <f t="shared" si="2"/>
        <v>2678405.48</v>
      </c>
      <c r="M5" s="19">
        <f t="shared" si="2"/>
        <v>3578405.48</v>
      </c>
      <c r="N5" s="19">
        <f t="shared" si="2"/>
        <v>3578405.48</v>
      </c>
      <c r="O5" s="8"/>
    </row>
    <row r="6">
      <c r="A6" s="33" t="s">
        <v>39</v>
      </c>
      <c r="B6" s="3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6"/>
    </row>
    <row r="7">
      <c r="A7" s="37" t="s">
        <v>40</v>
      </c>
      <c r="B7" s="38"/>
      <c r="C7" s="39">
        <v>0.0</v>
      </c>
      <c r="D7" s="39">
        <v>0.0</v>
      </c>
      <c r="E7" s="39">
        <v>50000.0</v>
      </c>
      <c r="F7" s="39">
        <v>0.0</v>
      </c>
      <c r="G7" s="39">
        <v>100000.0</v>
      </c>
      <c r="H7" s="39">
        <v>0.0</v>
      </c>
      <c r="I7" s="39">
        <v>0.0</v>
      </c>
      <c r="J7" s="39">
        <v>0.0</v>
      </c>
      <c r="K7" s="39">
        <v>0.0</v>
      </c>
      <c r="L7" s="39">
        <v>0.0</v>
      </c>
      <c r="M7" s="39">
        <v>0.0</v>
      </c>
      <c r="N7" s="39">
        <v>0.0</v>
      </c>
      <c r="O7" s="40">
        <f t="shared" ref="O7:O16" si="3">SUM(C7:N7)</f>
        <v>150000</v>
      </c>
    </row>
    <row r="8">
      <c r="A8" s="41" t="s">
        <v>42</v>
      </c>
      <c r="B8" s="42" t="str">
        <f t="array" ref="B8:B15">TOCOL(Categorias[ID])</f>
        <v>PS</v>
      </c>
      <c r="C8" s="19">
        <f>SUMIFS(Registro[Importe],Registro[Mes], C$1, Registro[Categoria], $B8)</f>
        <v>0</v>
      </c>
      <c r="D8" s="19">
        <f>SUMIFS(Registro[Importe],Registro[Mes], D$1, Registro[Categoria], $B8)</f>
        <v>350000</v>
      </c>
      <c r="E8" s="19">
        <f>SUMIFS(Registro[Importe],Registro[Mes], E$1, Registro[Categoria], $B8)</f>
        <v>600000</v>
      </c>
      <c r="F8" s="19">
        <f>SUMIFS(Registro[Importe],Registro[Mes], F$1, Registro[Categoria], $B8)</f>
        <v>510000</v>
      </c>
      <c r="G8" s="19">
        <f>SUMIFS(Registro[Importe],Registro[Mes], G$1, Registro[Categoria], $B8)</f>
        <v>480000</v>
      </c>
      <c r="H8" s="19">
        <f>SUMIFS(Registro[Importe],Registro[Mes], H$1, Registro[Categoria], $B8)</f>
        <v>510000</v>
      </c>
      <c r="I8" s="19">
        <f>SUMIFS(Registro[Importe],Registro[Mes], I$1, Registro[Categoria], $B8)</f>
        <v>465000</v>
      </c>
      <c r="J8" s="19">
        <f>SUMIFS(Registro[Importe],Registro[Mes], J$1, Registro[Categoria], $B8)</f>
        <v>490000</v>
      </c>
      <c r="K8" s="19">
        <f>SUMIFS(Registro[Importe],Registro[Mes], K$1, Registro[Categoria], $B8)</f>
        <v>420000</v>
      </c>
      <c r="L8" s="19">
        <f>SUMIFS(Registro[Importe],Registro[Mes], L$1, Registro[Categoria], $B8)</f>
        <v>105000</v>
      </c>
      <c r="M8" s="19">
        <f>SUMIFS(Registro[Importe],Registro[Mes], M$1, Registro[Categoria], $B8)</f>
        <v>0</v>
      </c>
      <c r="N8" s="19">
        <f>SUMIFS(Registro[Importe],Registro[Mes], N$1, Registro[Categoria], $B8)</f>
        <v>0</v>
      </c>
      <c r="O8" s="40">
        <f t="shared" si="3"/>
        <v>3930000</v>
      </c>
    </row>
    <row r="9">
      <c r="A9" s="37" t="s">
        <v>42</v>
      </c>
      <c r="B9" s="53" t="s">
        <v>64</v>
      </c>
      <c r="C9" s="19">
        <f>SUMIFS(Registro[Importe],Registro[Mes], C$1, Registro[Categoria], $B9)</f>
        <v>0</v>
      </c>
      <c r="D9" s="19">
        <f>SUMIFS(Registro[Importe],Registro[Mes], D$1, Registro[Categoria], $B9)</f>
        <v>150000</v>
      </c>
      <c r="E9" s="19">
        <f>SUMIFS(Registro[Importe],Registro[Mes], E$1, Registro[Categoria], $B9)</f>
        <v>240000</v>
      </c>
      <c r="F9" s="19">
        <f>SUMIFS(Registro[Importe],Registro[Mes], F$1, Registro[Categoria], $B9)</f>
        <v>210000</v>
      </c>
      <c r="G9" s="19">
        <f>SUMIFS(Registro[Importe],Registro[Mes], G$1, Registro[Categoria], $B9)</f>
        <v>210000</v>
      </c>
      <c r="H9" s="19">
        <f>SUMIFS(Registro[Importe],Registro[Mes], H$1, Registro[Categoria], $B9)</f>
        <v>210000</v>
      </c>
      <c r="I9" s="19">
        <f>SUMIFS(Registro[Importe],Registro[Mes], I$1, Registro[Categoria], $B9)</f>
        <v>210000</v>
      </c>
      <c r="J9" s="19">
        <f>SUMIFS(Registro[Importe],Registro[Mes], J$1, Registro[Categoria], $B9)</f>
        <v>210000</v>
      </c>
      <c r="K9" s="19">
        <f>SUMIFS(Registro[Importe],Registro[Mes], K$1, Registro[Categoria], $B9)</f>
        <v>210000</v>
      </c>
      <c r="L9" s="19">
        <f>SUMIFS(Registro[Importe],Registro[Mes], L$1, Registro[Categoria], $B9)</f>
        <v>140000</v>
      </c>
      <c r="M9" s="19">
        <f>SUMIFS(Registro[Importe],Registro[Mes], M$1, Registro[Categoria], $B9)</f>
        <v>0</v>
      </c>
      <c r="N9" s="19">
        <f>SUMIFS(Registro[Importe],Registro[Mes], N$1, Registro[Categoria], $B9)</f>
        <v>0</v>
      </c>
      <c r="O9" s="40">
        <f t="shared" si="3"/>
        <v>1790000</v>
      </c>
    </row>
    <row r="10">
      <c r="A10" s="41" t="s">
        <v>42</v>
      </c>
      <c r="B10" s="42" t="s">
        <v>87</v>
      </c>
      <c r="C10" s="19">
        <f>SUMIFS(Registro[Importe],Registro[Mes], C$1, Registro[Categoria], $B10)</f>
        <v>0</v>
      </c>
      <c r="D10" s="19">
        <f>SUMIFS(Registro[Importe],Registro[Mes], D$1, Registro[Categoria], $B10)</f>
        <v>250000</v>
      </c>
      <c r="E10" s="19">
        <f>SUMIFS(Registro[Importe],Registro[Mes], E$1, Registro[Categoria], $B10)</f>
        <v>360000</v>
      </c>
      <c r="F10" s="19">
        <f>SUMIFS(Registro[Importe],Registro[Mes], F$1, Registro[Categoria], $B10)</f>
        <v>210000</v>
      </c>
      <c r="G10" s="19">
        <f>SUMIFS(Registro[Importe],Registro[Mes], G$1, Registro[Categoria], $B10)</f>
        <v>240000</v>
      </c>
      <c r="H10" s="19">
        <f>SUMIFS(Registro[Importe],Registro[Mes], H$1, Registro[Categoria], $B10)</f>
        <v>210000</v>
      </c>
      <c r="I10" s="19">
        <f>SUMIFS(Registro[Importe],Registro[Mes], I$1, Registro[Categoria], $B10)</f>
        <v>150000</v>
      </c>
      <c r="J10" s="19">
        <f>SUMIFS(Registro[Importe],Registro[Mes], J$1, Registro[Categoria], $B10)</f>
        <v>245000</v>
      </c>
      <c r="K10" s="19">
        <f>SUMIFS(Registro[Importe],Registro[Mes], K$1, Registro[Categoria], $B10)</f>
        <v>210000</v>
      </c>
      <c r="L10" s="19">
        <f>SUMIFS(Registro[Importe],Registro[Mes], L$1, Registro[Categoria], $B10)</f>
        <v>70000</v>
      </c>
      <c r="M10" s="19">
        <f>SUMIFS(Registro[Importe],Registro[Mes], M$1, Registro[Categoria], $B10)</f>
        <v>0</v>
      </c>
      <c r="N10" s="19">
        <f>SUMIFS(Registro[Importe],Registro[Mes], N$1, Registro[Categoria], $B10)</f>
        <v>0</v>
      </c>
      <c r="O10" s="40">
        <f t="shared" si="3"/>
        <v>1945000</v>
      </c>
    </row>
    <row r="11">
      <c r="A11" s="37" t="s">
        <v>42</v>
      </c>
      <c r="B11" s="53" t="s">
        <v>112</v>
      </c>
      <c r="C11" s="19">
        <f>SUMIFS(Registro[Importe],Registro[Mes], C$1, Registro[Categoria], $B11)</f>
        <v>0</v>
      </c>
      <c r="D11" s="19">
        <f>SUMIFS(Registro[Importe],Registro[Mes], D$1, Registro[Categoria], $B11)</f>
        <v>250000</v>
      </c>
      <c r="E11" s="19">
        <f>SUMIFS(Registro[Importe],Registro[Mes], E$1, Registro[Categoria], $B11)</f>
        <v>480000</v>
      </c>
      <c r="F11" s="19">
        <f>SUMIFS(Registro[Importe],Registro[Mes], F$1, Registro[Categoria], $B11)</f>
        <v>480000</v>
      </c>
      <c r="G11" s="19">
        <f>SUMIFS(Registro[Importe],Registro[Mes], G$1, Registro[Categoria], $B11)</f>
        <v>480000</v>
      </c>
      <c r="H11" s="19">
        <f>SUMIFS(Registro[Importe],Registro[Mes], H$1, Registro[Categoria], $B11)</f>
        <v>480000</v>
      </c>
      <c r="I11" s="19">
        <f>SUMIFS(Registro[Importe],Registro[Mes], I$1, Registro[Categoria], $B11)</f>
        <v>480000</v>
      </c>
      <c r="J11" s="19">
        <f>SUMIFS(Registro[Importe],Registro[Mes], J$1, Registro[Categoria], $B11)</f>
        <v>525000</v>
      </c>
      <c r="K11" s="19">
        <f>SUMIFS(Registro[Importe],Registro[Mes], K$1, Registro[Categoria], $B11)</f>
        <v>490000</v>
      </c>
      <c r="L11" s="19">
        <f>SUMIFS(Registro[Importe],Registro[Mes], L$1, Registro[Categoria], $B11)</f>
        <v>315000</v>
      </c>
      <c r="M11" s="19">
        <f>SUMIFS(Registro[Importe],Registro[Mes], M$1, Registro[Categoria], $B11)</f>
        <v>0</v>
      </c>
      <c r="N11" s="19">
        <f>SUMIFS(Registro[Importe],Registro[Mes], N$1, Registro[Categoria], $B11)</f>
        <v>0</v>
      </c>
      <c r="O11" s="40">
        <f t="shared" si="3"/>
        <v>3980000</v>
      </c>
    </row>
    <row r="12">
      <c r="A12" s="41" t="s">
        <v>42</v>
      </c>
      <c r="B12" s="42" t="s">
        <v>135</v>
      </c>
      <c r="C12" s="19">
        <f>SUMIFS(Registro[Importe],Registro[Mes], C$1, Registro[Categoria], $B12)</f>
        <v>0</v>
      </c>
      <c r="D12" s="19">
        <f>SUMIFS(Registro[Importe],Registro[Mes], D$1, Registro[Categoria], $B12)</f>
        <v>125000</v>
      </c>
      <c r="E12" s="19">
        <f>SUMIFS(Registro[Importe],Registro[Mes], E$1, Registro[Categoria], $B12)</f>
        <v>150000</v>
      </c>
      <c r="F12" s="19">
        <f>SUMIFS(Registro[Importe],Registro[Mes], F$1, Registro[Categoria], $B12)</f>
        <v>60000</v>
      </c>
      <c r="G12" s="19">
        <f>SUMIFS(Registro[Importe],Registro[Mes], G$1, Registro[Categoria], $B12)</f>
        <v>120000</v>
      </c>
      <c r="H12" s="19">
        <f>SUMIFS(Registro[Importe],Registro[Mes], H$1, Registro[Categoria], $B12)</f>
        <v>120000</v>
      </c>
      <c r="I12" s="19">
        <f>SUMIFS(Registro[Importe],Registro[Mes], I$1, Registro[Categoria], $B12)</f>
        <v>90000</v>
      </c>
      <c r="J12" s="19">
        <f>SUMIFS(Registro[Importe],Registro[Mes], J$1, Registro[Categoria], $B12)</f>
        <v>105000</v>
      </c>
      <c r="K12" s="19">
        <f>SUMIFS(Registro[Importe],Registro[Mes], K$1, Registro[Categoria], $B12)</f>
        <v>70000</v>
      </c>
      <c r="L12" s="19">
        <f>SUMIFS(Registro[Importe],Registro[Mes], L$1, Registro[Categoria], $B12)</f>
        <v>0</v>
      </c>
      <c r="M12" s="19">
        <f>SUMIFS(Registro[Importe],Registro[Mes], M$1, Registro[Categoria], $B12)</f>
        <v>0</v>
      </c>
      <c r="N12" s="19">
        <f>SUMIFS(Registro[Importe],Registro[Mes], N$1, Registro[Categoria], $B12)</f>
        <v>0</v>
      </c>
      <c r="O12" s="40">
        <f t="shared" si="3"/>
        <v>840000</v>
      </c>
    </row>
    <row r="13">
      <c r="A13" s="37" t="s">
        <v>42</v>
      </c>
      <c r="B13" s="53" t="s">
        <v>147</v>
      </c>
      <c r="C13" s="19">
        <f>SUMIFS(Registro[Importe],Registro[Mes], C$1, Registro[Categoria], $B13)</f>
        <v>0</v>
      </c>
      <c r="D13" s="19">
        <f>SUMIFS(Registro[Importe],Registro[Mes], D$1, Registro[Categoria], $B13)</f>
        <v>160000</v>
      </c>
      <c r="E13" s="19">
        <f>SUMIFS(Registro[Importe],Registro[Mes], E$1, Registro[Categoria], $B13)</f>
        <v>300000</v>
      </c>
      <c r="F13" s="19">
        <f>SUMIFS(Registro[Importe],Registro[Mes], F$1, Registro[Categoria], $B13)</f>
        <v>325000</v>
      </c>
      <c r="G13" s="19">
        <f>SUMIFS(Registro[Importe],Registro[Mes], G$1, Registro[Categoria], $B13)</f>
        <v>325000</v>
      </c>
      <c r="H13" s="19">
        <f>SUMIFS(Registro[Importe],Registro[Mes], H$1, Registro[Categoria], $B13)</f>
        <v>325000</v>
      </c>
      <c r="I13" s="19">
        <f>SUMIFS(Registro[Importe],Registro[Mes], I$1, Registro[Categoria], $B13)</f>
        <v>310000</v>
      </c>
      <c r="J13" s="19">
        <f>SUMIFS(Registro[Importe],Registro[Mes], J$1, Registro[Categoria], $B13)</f>
        <v>390000</v>
      </c>
      <c r="K13" s="19">
        <f>SUMIFS(Registro[Importe],Registro[Mes], K$1, Registro[Categoria], $B13)</f>
        <v>330000</v>
      </c>
      <c r="L13" s="19">
        <f>SUMIFS(Registro[Importe],Registro[Mes], L$1, Registro[Categoria], $B13)</f>
        <v>270000</v>
      </c>
      <c r="M13" s="19">
        <f>SUMIFS(Registro[Importe],Registro[Mes], M$1, Registro[Categoria], $B13)</f>
        <v>0</v>
      </c>
      <c r="N13" s="19">
        <f>SUMIFS(Registro[Importe],Registro[Mes], N$1, Registro[Categoria], $B13)</f>
        <v>0</v>
      </c>
      <c r="O13" s="40">
        <f t="shared" si="3"/>
        <v>2735000</v>
      </c>
    </row>
    <row r="14">
      <c r="A14" s="41" t="s">
        <v>42</v>
      </c>
      <c r="B14" s="42" t="s">
        <v>207</v>
      </c>
      <c r="C14" s="19">
        <f>SUMIFS(Registro[Importe],Registro[Mes], C$1, Registro[Categoria], $B14)</f>
        <v>0</v>
      </c>
      <c r="D14" s="19">
        <f>SUMIFS(Registro[Importe],Registro[Mes], D$1, Registro[Categoria], $B14)</f>
        <v>0</v>
      </c>
      <c r="E14" s="19">
        <f>SUMIFS(Registro[Importe],Registro[Mes], E$1, Registro[Categoria], $B14)</f>
        <v>0</v>
      </c>
      <c r="F14" s="19">
        <f>SUMIFS(Registro[Importe],Registro[Mes], F$1, Registro[Categoria], $B14)</f>
        <v>0</v>
      </c>
      <c r="G14" s="19">
        <f>SUMIFS(Registro[Importe],Registro[Mes], G$1, Registro[Categoria], $B14)</f>
        <v>0</v>
      </c>
      <c r="H14" s="19">
        <f>SUMIFS(Registro[Importe],Registro[Mes], H$1, Registro[Categoria], $B14)</f>
        <v>0</v>
      </c>
      <c r="I14" s="19">
        <f>SUMIFS(Registro[Importe],Registro[Mes], I$1, Registro[Categoria], $B14)</f>
        <v>0</v>
      </c>
      <c r="J14" s="19">
        <f>SUMIFS(Registro[Importe],Registro[Mes], J$1, Registro[Categoria], $B14)</f>
        <v>0</v>
      </c>
      <c r="K14" s="19">
        <f>SUMIFS(Registro[Importe],Registro[Mes], K$1, Registro[Categoria], $B14)</f>
        <v>0</v>
      </c>
      <c r="L14" s="19">
        <f>SUMIFS(Registro[Importe],Registro[Mes], L$1, Registro[Categoria], $B14)</f>
        <v>0</v>
      </c>
      <c r="M14" s="19">
        <f>SUMIFS(Registro[Importe],Registro[Mes], M$1, Registro[Categoria], $B14)</f>
        <v>0</v>
      </c>
      <c r="N14" s="19">
        <f>SUMIFS(Registro[Importe],Registro[Mes], N$1, Registro[Categoria], $B14)</f>
        <v>0</v>
      </c>
      <c r="O14" s="40">
        <f t="shared" si="3"/>
        <v>0</v>
      </c>
    </row>
    <row r="15">
      <c r="A15" s="37" t="s">
        <v>42</v>
      </c>
      <c r="B15" s="53" t="s">
        <v>210</v>
      </c>
      <c r="C15" s="19">
        <f>SUMIFS(Registro[Importe],Registro[Mes], C$1, Registro[Categoria], $B15)</f>
        <v>0</v>
      </c>
      <c r="D15" s="19">
        <f>SUMIFS(Registro[Importe],Registro[Mes], D$1, Registro[Categoria], $B15)</f>
        <v>0</v>
      </c>
      <c r="E15" s="19">
        <f>SUMIFS(Registro[Importe],Registro[Mes], E$1, Registro[Categoria], $B15)</f>
        <v>0</v>
      </c>
      <c r="F15" s="19">
        <f>SUMIFS(Registro[Importe],Registro[Mes], F$1, Registro[Categoria], $B15)</f>
        <v>0</v>
      </c>
      <c r="G15" s="19">
        <f>SUMIFS(Registro[Importe],Registro[Mes], G$1, Registro[Categoria], $B15)</f>
        <v>0</v>
      </c>
      <c r="H15" s="19">
        <f>SUMIFS(Registro[Importe],Registro[Mes], H$1, Registro[Categoria], $B15)</f>
        <v>0</v>
      </c>
      <c r="I15" s="19">
        <f>SUMIFS(Registro[Importe],Registro[Mes], I$1, Registro[Categoria], $B15)</f>
        <v>0</v>
      </c>
      <c r="J15" s="19">
        <f>SUMIFS(Registro[Importe],Registro[Mes], J$1, Registro[Categoria], $B15)</f>
        <v>0</v>
      </c>
      <c r="K15" s="19">
        <f>SUMIFS(Registro[Importe],Registro[Mes], K$1, Registro[Categoria], $B15)</f>
        <v>0</v>
      </c>
      <c r="L15" s="19">
        <f>SUMIFS(Registro[Importe],Registro[Mes], L$1, Registro[Categoria], $B15)</f>
        <v>0</v>
      </c>
      <c r="M15" s="19">
        <f>SUMIFS(Registro[Importe],Registro[Mes], M$1, Registro[Categoria], $B15)</f>
        <v>0</v>
      </c>
      <c r="N15" s="19">
        <f>SUMIFS(Registro[Importe],Registro[Mes], N$1, Registro[Categoria], $B15)</f>
        <v>0</v>
      </c>
      <c r="O15" s="40">
        <f t="shared" si="3"/>
        <v>0</v>
      </c>
    </row>
    <row r="16">
      <c r="A16" s="94" t="s">
        <v>213</v>
      </c>
      <c r="C16" s="40">
        <f t="shared" ref="C16:N16" si="4">SUM(C7:C15)</f>
        <v>0</v>
      </c>
      <c r="D16" s="40">
        <f t="shared" si="4"/>
        <v>1285000</v>
      </c>
      <c r="E16" s="40">
        <f t="shared" si="4"/>
        <v>2180000</v>
      </c>
      <c r="F16" s="40">
        <f t="shared" si="4"/>
        <v>1795000</v>
      </c>
      <c r="G16" s="40">
        <f t="shared" si="4"/>
        <v>1955000</v>
      </c>
      <c r="H16" s="40">
        <f t="shared" si="4"/>
        <v>1855000</v>
      </c>
      <c r="I16" s="40">
        <f t="shared" si="4"/>
        <v>1705000</v>
      </c>
      <c r="J16" s="40">
        <f t="shared" si="4"/>
        <v>1965000</v>
      </c>
      <c r="K16" s="40">
        <f t="shared" si="4"/>
        <v>1730000</v>
      </c>
      <c r="L16" s="40">
        <f t="shared" si="4"/>
        <v>900000</v>
      </c>
      <c r="M16" s="40">
        <f t="shared" si="4"/>
        <v>0</v>
      </c>
      <c r="N16" s="40">
        <f t="shared" si="4"/>
        <v>0</v>
      </c>
      <c r="O16" s="40">
        <f t="shared" si="3"/>
        <v>15370000</v>
      </c>
    </row>
    <row r="17">
      <c r="A17" s="97" t="s">
        <v>215</v>
      </c>
      <c r="B17" s="97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6"/>
    </row>
    <row r="18">
      <c r="A18" s="98" t="s">
        <v>216</v>
      </c>
      <c r="B18" s="38" t="str">
        <f t="array" ref="B18:B32">TOCOL(Tipo_Gastos[Descripción])</f>
        <v>Cancha Chicago</v>
      </c>
      <c r="C18" s="19">
        <f>SUMIFS(Gastos[Total], Gastos[Mes], C$1, Gastos[Tipo], $B18)</f>
        <v>0</v>
      </c>
      <c r="D18" s="100">
        <f>SUMIFS(Gastos[Total], Gastos[Mes], D$1, Gastos[Tipo], $B18)</f>
        <v>0</v>
      </c>
      <c r="E18" s="100">
        <f>SUMIFS(Gastos[Total], Gastos[Mes], E$1, Gastos[Tipo], $B18)</f>
        <v>410000</v>
      </c>
      <c r="F18" s="100">
        <f>SUMIFS(Gastos[Total], Gastos[Mes], F$1, Gastos[Tipo], $B18)</f>
        <v>320000</v>
      </c>
      <c r="G18" s="100">
        <f>SUMIFS(Gastos[Total], Gastos[Mes], G$1, Gastos[Tipo], $B18)</f>
        <v>320000</v>
      </c>
      <c r="H18" s="100">
        <f>SUMIFS(Gastos[Total], Gastos[Mes], H$1, Gastos[Tipo], $B18)</f>
        <v>320000</v>
      </c>
      <c r="I18" s="100">
        <f>SUMIFS(Gastos[Total], Gastos[Mes], I$1, Gastos[Tipo], $B18)</f>
        <v>320000</v>
      </c>
      <c r="J18" s="100">
        <f>SUMIFS(Gastos[Total], Gastos[Mes], J$1, Gastos[Tipo], $B18)</f>
        <v>320000</v>
      </c>
      <c r="K18" s="100">
        <f>SUMIFS(Gastos[Total], Gastos[Mes], K$1, Gastos[Tipo], $B18)</f>
        <v>320000</v>
      </c>
      <c r="L18" s="100">
        <f>SUMIFS(Gastos[Total], Gastos[Mes], L$1, Gastos[Tipo], $B18)</f>
        <v>0</v>
      </c>
      <c r="M18" s="100">
        <f>SUMIFS(Gastos[Total], Gastos[Mes], M$1, Gastos[Tipo], $B18)</f>
        <v>0</v>
      </c>
      <c r="N18" s="100">
        <f>SUMIFS(Gastos[Total], Gastos[Mes], N$1, Gastos[Tipo], $B18)</f>
        <v>0</v>
      </c>
      <c r="O18" s="40">
        <f t="shared" ref="O18:O33" si="5">SUM(C18:N18)</f>
        <v>2330000</v>
      </c>
    </row>
    <row r="19">
      <c r="A19" s="102"/>
      <c r="B19" s="102" t="s">
        <v>101</v>
      </c>
      <c r="C19" s="19">
        <f>SUMIFS(Gastos[Total], Gastos[Mes], C$1, Gastos[Tipo], $B19)</f>
        <v>0</v>
      </c>
      <c r="D19" s="100">
        <f>SUMIFS(Gastos[Total], Gastos[Mes], D$1, Gastos[Tipo], $B19)</f>
        <v>0</v>
      </c>
      <c r="E19" s="100">
        <f>SUMIFS(Gastos[Total], Gastos[Mes], E$1, Gastos[Tipo], $B19)</f>
        <v>990000</v>
      </c>
      <c r="F19" s="100">
        <f>SUMIFS(Gastos[Total], Gastos[Mes], F$1, Gastos[Tipo], $B19)</f>
        <v>780000</v>
      </c>
      <c r="G19" s="100">
        <f>SUMIFS(Gastos[Total], Gastos[Mes], G$1, Gastos[Tipo], $B19)</f>
        <v>1080000</v>
      </c>
      <c r="H19" s="100">
        <f>SUMIFS(Gastos[Total], Gastos[Mes], H$1, Gastos[Tipo], $B19)</f>
        <v>810000</v>
      </c>
      <c r="I19" s="100">
        <f>SUMIFS(Gastos[Total], Gastos[Mes], I$1, Gastos[Tipo], $B19)</f>
        <v>950000</v>
      </c>
      <c r="J19" s="100">
        <f>SUMIFS(Gastos[Total], Gastos[Mes], J$1, Gastos[Tipo], $B19)</f>
        <v>1050000</v>
      </c>
      <c r="K19" s="100">
        <f>SUMIFS(Gastos[Total], Gastos[Mes], K$1, Gastos[Tipo], $B19)</f>
        <v>1400000</v>
      </c>
      <c r="L19" s="100">
        <f>SUMIFS(Gastos[Total], Gastos[Mes], L$1, Gastos[Tipo], $B19)</f>
        <v>0</v>
      </c>
      <c r="M19" s="100">
        <f>SUMIFS(Gastos[Total], Gastos[Mes], M$1, Gastos[Tipo], $B19)</f>
        <v>0</v>
      </c>
      <c r="N19" s="100">
        <f>SUMIFS(Gastos[Total], Gastos[Mes], N$1, Gastos[Tipo], $B19)</f>
        <v>0</v>
      </c>
      <c r="O19" s="40">
        <f t="shared" si="5"/>
        <v>7060000</v>
      </c>
    </row>
    <row r="20">
      <c r="A20" s="38"/>
      <c r="B20" s="38" t="s">
        <v>44</v>
      </c>
      <c r="C20" s="19">
        <f>SUMIFS(Gastos[Total], Gastos[Mes], C$1, Gastos[Tipo], $B20)</f>
        <v>0</v>
      </c>
      <c r="D20" s="100">
        <f>SUMIFS(Gastos[Total], Gastos[Mes], D$1, Gastos[Tipo], $B20)</f>
        <v>0</v>
      </c>
      <c r="E20" s="100">
        <f>SUMIFS(Gastos[Total], Gastos[Mes], E$1, Gastos[Tipo], $B20)</f>
        <v>183000</v>
      </c>
      <c r="F20" s="100">
        <f>SUMIFS(Gastos[Total], Gastos[Mes], F$1, Gastos[Tipo], $B20)</f>
        <v>164000</v>
      </c>
      <c r="G20" s="100">
        <f>SUMIFS(Gastos[Total], Gastos[Mes], G$1, Gastos[Tipo], $B20)</f>
        <v>164000</v>
      </c>
      <c r="H20" s="100">
        <f>SUMIFS(Gastos[Total], Gastos[Mes], H$1, Gastos[Tipo], $B20)</f>
        <v>164000</v>
      </c>
      <c r="I20" s="100">
        <f>SUMIFS(Gastos[Total], Gastos[Mes], I$1, Gastos[Tipo], $B20)</f>
        <v>82000</v>
      </c>
      <c r="J20" s="100">
        <f>SUMIFS(Gastos[Total], Gastos[Mes], J$1, Gastos[Tipo], $B20)</f>
        <v>82000</v>
      </c>
      <c r="K20" s="100">
        <f>SUMIFS(Gastos[Total], Gastos[Mes], K$1, Gastos[Tipo], $B20)</f>
        <v>180000</v>
      </c>
      <c r="L20" s="100">
        <f>SUMIFS(Gastos[Total], Gastos[Mes], L$1, Gastos[Tipo], $B20)</f>
        <v>0</v>
      </c>
      <c r="M20" s="100">
        <f>SUMIFS(Gastos[Total], Gastos[Mes], M$1, Gastos[Tipo], $B20)</f>
        <v>0</v>
      </c>
      <c r="N20" s="100">
        <f>SUMIFS(Gastos[Total], Gastos[Mes], N$1, Gastos[Tipo], $B20)</f>
        <v>0</v>
      </c>
      <c r="O20" s="40">
        <f t="shared" si="5"/>
        <v>1019000</v>
      </c>
    </row>
    <row r="21">
      <c r="A21" s="102"/>
      <c r="B21" s="102" t="s">
        <v>48</v>
      </c>
      <c r="C21" s="19">
        <f>SUMIFS(Gastos[Total], Gastos[Mes], C$1, Gastos[Tipo], $B21)</f>
        <v>0</v>
      </c>
      <c r="D21" s="100">
        <f>SUMIFS(Gastos[Total], Gastos[Mes], D$1, Gastos[Tipo], $B21)</f>
        <v>0</v>
      </c>
      <c r="E21" s="100">
        <f>SUMIFS(Gastos[Total], Gastos[Mes], E$1, Gastos[Tipo], $B21)</f>
        <v>138000</v>
      </c>
      <c r="F21" s="100">
        <f>SUMIFS(Gastos[Total], Gastos[Mes], F$1, Gastos[Tipo], $B21)</f>
        <v>164000</v>
      </c>
      <c r="G21" s="100">
        <f>SUMIFS(Gastos[Total], Gastos[Mes], G$1, Gastos[Tipo], $B21)</f>
        <v>164000</v>
      </c>
      <c r="H21" s="100">
        <f>SUMIFS(Gastos[Total], Gastos[Mes], H$1, Gastos[Tipo], $B21)</f>
        <v>164000</v>
      </c>
      <c r="I21" s="100">
        <f>SUMIFS(Gastos[Total], Gastos[Mes], I$1, Gastos[Tipo], $B21)</f>
        <v>0</v>
      </c>
      <c r="J21" s="100">
        <f>SUMIFS(Gastos[Total], Gastos[Mes], J$1, Gastos[Tipo], $B21)</f>
        <v>82000</v>
      </c>
      <c r="K21" s="100">
        <f>SUMIFS(Gastos[Total], Gastos[Mes], K$1, Gastos[Tipo], $B21)</f>
        <v>180000</v>
      </c>
      <c r="L21" s="100">
        <f>SUMIFS(Gastos[Total], Gastos[Mes], L$1, Gastos[Tipo], $B21)</f>
        <v>0</v>
      </c>
      <c r="M21" s="100">
        <f>SUMIFS(Gastos[Total], Gastos[Mes], M$1, Gastos[Tipo], $B21)</f>
        <v>0</v>
      </c>
      <c r="N21" s="100">
        <f>SUMIFS(Gastos[Total], Gastos[Mes], N$1, Gastos[Tipo], $B21)</f>
        <v>0</v>
      </c>
      <c r="O21" s="40">
        <f t="shared" si="5"/>
        <v>892000</v>
      </c>
    </row>
    <row r="22">
      <c r="A22" s="38"/>
      <c r="B22" s="38" t="s">
        <v>60</v>
      </c>
      <c r="C22" s="19">
        <f>SUMIFS(Gastos[Total], Gastos[Mes], C$1, Gastos[Tipo], $B22)</f>
        <v>0</v>
      </c>
      <c r="D22" s="100">
        <f>SUMIFS(Gastos[Total], Gastos[Mes], D$1, Gastos[Tipo], $B22)</f>
        <v>0</v>
      </c>
      <c r="E22" s="100">
        <f>SUMIFS(Gastos[Total], Gastos[Mes], E$1, Gastos[Tipo], $B22)</f>
        <v>253000</v>
      </c>
      <c r="F22" s="100">
        <f>SUMIFS(Gastos[Total], Gastos[Mes], F$1, Gastos[Tipo], $B22)</f>
        <v>220000</v>
      </c>
      <c r="G22" s="100">
        <f>SUMIFS(Gastos[Total], Gastos[Mes], G$1, Gastos[Tipo], $B22)</f>
        <v>220000</v>
      </c>
      <c r="H22" s="100">
        <f>SUMIFS(Gastos[Total], Gastos[Mes], H$1, Gastos[Tipo], $B22)</f>
        <v>220000</v>
      </c>
      <c r="I22" s="100">
        <f>SUMIFS(Gastos[Total], Gastos[Mes], I$1, Gastos[Tipo], $B22)</f>
        <v>110000</v>
      </c>
      <c r="J22" s="100">
        <f>SUMIFS(Gastos[Total], Gastos[Mes], J$1, Gastos[Tipo], $B22)</f>
        <v>110000</v>
      </c>
      <c r="K22" s="100">
        <f>SUMIFS(Gastos[Total], Gastos[Mes], K$1, Gastos[Tipo], $B22)</f>
        <v>220000</v>
      </c>
      <c r="L22" s="100">
        <f>SUMIFS(Gastos[Total], Gastos[Mes], L$1, Gastos[Tipo], $B22)</f>
        <v>0</v>
      </c>
      <c r="M22" s="100">
        <f>SUMIFS(Gastos[Total], Gastos[Mes], M$1, Gastos[Tipo], $B22)</f>
        <v>0</v>
      </c>
      <c r="N22" s="100">
        <f>SUMIFS(Gastos[Total], Gastos[Mes], N$1, Gastos[Tipo], $B22)</f>
        <v>0</v>
      </c>
      <c r="O22" s="40">
        <f t="shared" si="5"/>
        <v>1353000</v>
      </c>
    </row>
    <row r="23">
      <c r="A23" s="102"/>
      <c r="B23" s="102" t="s">
        <v>65</v>
      </c>
      <c r="C23" s="19">
        <f>SUMIFS(Gastos[Total], Gastos[Mes], C$1, Gastos[Tipo], $B23)</f>
        <v>0</v>
      </c>
      <c r="D23" s="100">
        <f>SUMIFS(Gastos[Total], Gastos[Mes], D$1, Gastos[Tipo], $B23)</f>
        <v>0</v>
      </c>
      <c r="E23" s="100">
        <f>SUMIFS(Gastos[Total], Gastos[Mes], E$1, Gastos[Tipo], $B23)</f>
        <v>67000</v>
      </c>
      <c r="F23" s="100">
        <f>SUMIFS(Gastos[Total], Gastos[Mes], F$1, Gastos[Tipo], $B23)</f>
        <v>28000</v>
      </c>
      <c r="G23" s="100">
        <f>SUMIFS(Gastos[Total], Gastos[Mes], G$1, Gastos[Tipo], $B23)</f>
        <v>50000</v>
      </c>
      <c r="H23" s="100">
        <f>SUMIFS(Gastos[Total], Gastos[Mes], H$1, Gastos[Tipo], $B23)</f>
        <v>28000</v>
      </c>
      <c r="I23" s="100">
        <f>SUMIFS(Gastos[Total], Gastos[Mes], I$1, Gastos[Tipo], $B23)</f>
        <v>26000</v>
      </c>
      <c r="J23" s="100">
        <f>SUMIFS(Gastos[Total], Gastos[Mes], J$1, Gastos[Tipo], $B23)</f>
        <v>28000</v>
      </c>
      <c r="K23" s="100">
        <f>SUMIFS(Gastos[Total], Gastos[Mes], K$1, Gastos[Tipo], $B23)</f>
        <v>50000</v>
      </c>
      <c r="L23" s="100">
        <f>SUMIFS(Gastos[Total], Gastos[Mes], L$1, Gastos[Tipo], $B23)</f>
        <v>0</v>
      </c>
      <c r="M23" s="100">
        <f>SUMIFS(Gastos[Total], Gastos[Mes], M$1, Gastos[Tipo], $B23)</f>
        <v>0</v>
      </c>
      <c r="N23" s="100">
        <f>SUMIFS(Gastos[Total], Gastos[Mes], N$1, Gastos[Tipo], $B23)</f>
        <v>0</v>
      </c>
      <c r="O23" s="40">
        <f t="shared" si="5"/>
        <v>277000</v>
      </c>
    </row>
    <row r="24">
      <c r="A24" s="38"/>
      <c r="B24" s="38" t="s">
        <v>83</v>
      </c>
      <c r="C24" s="19">
        <f>SUMIFS(Gastos[Total], Gastos[Mes], C$1, Gastos[Tipo], $B24)</f>
        <v>0</v>
      </c>
      <c r="D24" s="100">
        <f>SUMIFS(Gastos[Total], Gastos[Mes], D$1, Gastos[Tipo], $B24)</f>
        <v>0</v>
      </c>
      <c r="E24" s="100">
        <f>SUMIFS(Gastos[Total], Gastos[Mes], E$1, Gastos[Tipo], $B24)</f>
        <v>19200</v>
      </c>
      <c r="F24" s="100">
        <f>SUMIFS(Gastos[Total], Gastos[Mes], F$1, Gastos[Tipo], $B24)</f>
        <v>0</v>
      </c>
      <c r="G24" s="100">
        <f>SUMIFS(Gastos[Total], Gastos[Mes], G$1, Gastos[Tipo], $B24)</f>
        <v>15462.72</v>
      </c>
      <c r="H24" s="100">
        <f>SUMIFS(Gastos[Total], Gastos[Mes], H$1, Gastos[Tipo], $B24)</f>
        <v>0</v>
      </c>
      <c r="I24" s="100">
        <f>SUMIFS(Gastos[Total], Gastos[Mes], I$1, Gastos[Tipo], $B24)</f>
        <v>11000</v>
      </c>
      <c r="J24" s="100">
        <f>SUMIFS(Gastos[Total], Gastos[Mes], J$1, Gastos[Tipo], $B24)</f>
        <v>22100</v>
      </c>
      <c r="K24" s="100">
        <f>SUMIFS(Gastos[Total], Gastos[Mes], K$1, Gastos[Tipo], $B24)</f>
        <v>24000</v>
      </c>
      <c r="L24" s="100">
        <f>SUMIFS(Gastos[Total], Gastos[Mes], L$1, Gastos[Tipo], $B24)</f>
        <v>0</v>
      </c>
      <c r="M24" s="100">
        <f>SUMIFS(Gastos[Total], Gastos[Mes], M$1, Gastos[Tipo], $B24)</f>
        <v>0</v>
      </c>
      <c r="N24" s="100">
        <f>SUMIFS(Gastos[Total], Gastos[Mes], N$1, Gastos[Tipo], $B24)</f>
        <v>0</v>
      </c>
      <c r="O24" s="40">
        <f t="shared" si="5"/>
        <v>91762.72</v>
      </c>
    </row>
    <row r="25">
      <c r="A25" s="102"/>
      <c r="B25" s="102" t="s">
        <v>77</v>
      </c>
      <c r="C25" s="19">
        <f>SUMIFS(Gastos[Total], Gastos[Mes], C$1, Gastos[Tipo], $B25)</f>
        <v>0</v>
      </c>
      <c r="D25" s="100">
        <f>SUMIFS(Gastos[Total], Gastos[Mes], D$1, Gastos[Tipo], $B25)</f>
        <v>0</v>
      </c>
      <c r="E25" s="100">
        <f>SUMIFS(Gastos[Total], Gastos[Mes], E$1, Gastos[Tipo], $B25)</f>
        <v>41000</v>
      </c>
      <c r="F25" s="100">
        <f>SUMIFS(Gastos[Total], Gastos[Mes], F$1, Gastos[Tipo], $B25)</f>
        <v>60300</v>
      </c>
      <c r="G25" s="100">
        <f>SUMIFS(Gastos[Total], Gastos[Mes], G$1, Gastos[Tipo], $B25)</f>
        <v>30000</v>
      </c>
      <c r="H25" s="100">
        <f>SUMIFS(Gastos[Total], Gastos[Mes], H$1, Gastos[Tipo], $B25)</f>
        <v>26800</v>
      </c>
      <c r="I25" s="100">
        <f>SUMIFS(Gastos[Total], Gastos[Mes], I$1, Gastos[Tipo], $B25)</f>
        <v>0</v>
      </c>
      <c r="J25" s="100">
        <f>SUMIFS(Gastos[Total], Gastos[Mes], J$1, Gastos[Tipo], $B25)</f>
        <v>13400</v>
      </c>
      <c r="K25" s="100">
        <f>SUMIFS(Gastos[Total], Gastos[Mes], K$1, Gastos[Tipo], $B25)</f>
        <v>0</v>
      </c>
      <c r="L25" s="100">
        <f>SUMIFS(Gastos[Total], Gastos[Mes], L$1, Gastos[Tipo], $B25)</f>
        <v>0</v>
      </c>
      <c r="M25" s="100">
        <f>SUMIFS(Gastos[Total], Gastos[Mes], M$1, Gastos[Tipo], $B25)</f>
        <v>0</v>
      </c>
      <c r="N25" s="100">
        <f>SUMIFS(Gastos[Total], Gastos[Mes], N$1, Gastos[Tipo], $B25)</f>
        <v>0</v>
      </c>
      <c r="O25" s="40">
        <f t="shared" si="5"/>
        <v>171500</v>
      </c>
    </row>
    <row r="26">
      <c r="A26" s="38"/>
      <c r="B26" s="38" t="s">
        <v>91</v>
      </c>
      <c r="C26" s="19">
        <f>SUMIFS(Gastos[Total], Gastos[Mes], C$1, Gastos[Tipo], $B26)</f>
        <v>0</v>
      </c>
      <c r="D26" s="100">
        <f>SUMIFS(Gastos[Total], Gastos[Mes], D$1, Gastos[Tipo], $B26)</f>
        <v>0</v>
      </c>
      <c r="E26" s="100">
        <f>SUMIFS(Gastos[Total], Gastos[Mes], E$1, Gastos[Tipo], $B26)</f>
        <v>168140</v>
      </c>
      <c r="F26" s="100">
        <f>SUMIFS(Gastos[Total], Gastos[Mes], F$1, Gastos[Tipo], $B26)</f>
        <v>174405</v>
      </c>
      <c r="G26" s="100">
        <f>SUMIFS(Gastos[Total], Gastos[Mes], G$1, Gastos[Tipo], $B26)</f>
        <v>185440</v>
      </c>
      <c r="H26" s="100">
        <f>SUMIFS(Gastos[Total], Gastos[Mes], H$1, Gastos[Tipo], $B26)</f>
        <v>157605</v>
      </c>
      <c r="I26" s="100">
        <f>SUMIFS(Gastos[Total], Gastos[Mes], I$1, Gastos[Tipo], $B26)</f>
        <v>83030</v>
      </c>
      <c r="J26" s="100">
        <f>SUMIFS(Gastos[Total], Gastos[Mes], J$1, Gastos[Tipo], $B26)</f>
        <v>102685</v>
      </c>
      <c r="K26" s="100">
        <f>SUMIFS(Gastos[Total], Gastos[Mes], K$1, Gastos[Tipo], $B26)</f>
        <v>250680</v>
      </c>
      <c r="L26" s="100">
        <f>SUMIFS(Gastos[Total], Gastos[Mes], L$1, Gastos[Tipo], $B26)</f>
        <v>0</v>
      </c>
      <c r="M26" s="100">
        <f>SUMIFS(Gastos[Total], Gastos[Mes], M$1, Gastos[Tipo], $B26)</f>
        <v>0</v>
      </c>
      <c r="N26" s="100">
        <f>SUMIFS(Gastos[Total], Gastos[Mes], N$1, Gastos[Tipo], $B26)</f>
        <v>0</v>
      </c>
      <c r="O26" s="40">
        <f t="shared" si="5"/>
        <v>1121985</v>
      </c>
    </row>
    <row r="27">
      <c r="A27" s="102"/>
      <c r="B27" s="102" t="s">
        <v>92</v>
      </c>
      <c r="C27" s="19">
        <f>SUMIFS(Gastos[Total], Gastos[Mes], C$1, Gastos[Tipo], $B27)</f>
        <v>0</v>
      </c>
      <c r="D27" s="100">
        <f>SUMIFS(Gastos[Total], Gastos[Mes], D$1, Gastos[Tipo], $B27)</f>
        <v>0</v>
      </c>
      <c r="E27" s="100">
        <f>SUMIFS(Gastos[Total], Gastos[Mes], E$1, Gastos[Tipo], $B27)</f>
        <v>3480</v>
      </c>
      <c r="F27" s="100">
        <f>SUMIFS(Gastos[Total], Gastos[Mes], F$1, Gastos[Tipo], $B27)</f>
        <v>6700</v>
      </c>
      <c r="G27" s="100">
        <f>SUMIFS(Gastos[Total], Gastos[Mes], G$1, Gastos[Tipo], $B27)</f>
        <v>0</v>
      </c>
      <c r="H27" s="100">
        <f>SUMIFS(Gastos[Total], Gastos[Mes], H$1, Gastos[Tipo], $B27)</f>
        <v>0</v>
      </c>
      <c r="I27" s="100">
        <f>SUMIFS(Gastos[Total], Gastos[Mes], I$1, Gastos[Tipo], $B27)</f>
        <v>0</v>
      </c>
      <c r="J27" s="100">
        <f>SUMIFS(Gastos[Total], Gastos[Mes], J$1, Gastos[Tipo], $B27)</f>
        <v>0</v>
      </c>
      <c r="K27" s="100">
        <f>SUMIFS(Gastos[Total], Gastos[Mes], K$1, Gastos[Tipo], $B27)</f>
        <v>0</v>
      </c>
      <c r="L27" s="100">
        <f>SUMIFS(Gastos[Total], Gastos[Mes], L$1, Gastos[Tipo], $B27)</f>
        <v>0</v>
      </c>
      <c r="M27" s="100">
        <f>SUMIFS(Gastos[Total], Gastos[Mes], M$1, Gastos[Tipo], $B27)</f>
        <v>0</v>
      </c>
      <c r="N27" s="100">
        <f>SUMIFS(Gastos[Total], Gastos[Mes], N$1, Gastos[Tipo], $B27)</f>
        <v>0</v>
      </c>
      <c r="O27" s="40">
        <f t="shared" si="5"/>
        <v>10180</v>
      </c>
    </row>
    <row r="28">
      <c r="A28" s="38"/>
      <c r="B28" s="38" t="s">
        <v>126</v>
      </c>
      <c r="C28" s="19">
        <f>SUMIFS(Gastos[Total], Gastos[Mes], C$1, Gastos[Tipo], $B28)</f>
        <v>0</v>
      </c>
      <c r="D28" s="100">
        <f>SUMIFS(Gastos[Total], Gastos[Mes], D$1, Gastos[Tipo], $B28)</f>
        <v>0</v>
      </c>
      <c r="E28" s="100">
        <f>SUMIFS(Gastos[Total], Gastos[Mes], E$1, Gastos[Tipo], $B28)</f>
        <v>5000</v>
      </c>
      <c r="F28" s="100">
        <f>SUMIFS(Gastos[Total], Gastos[Mes], F$1, Gastos[Tipo], $B28)</f>
        <v>16000</v>
      </c>
      <c r="G28" s="100">
        <f>SUMIFS(Gastos[Total], Gastos[Mes], G$1, Gastos[Tipo], $B28)</f>
        <v>25000</v>
      </c>
      <c r="H28" s="100">
        <f>SUMIFS(Gastos[Total], Gastos[Mes], H$1, Gastos[Tipo], $B28)</f>
        <v>20000</v>
      </c>
      <c r="I28" s="100">
        <f>SUMIFS(Gastos[Total], Gastos[Mes], I$1, Gastos[Tipo], $B28)</f>
        <v>9200</v>
      </c>
      <c r="J28" s="100">
        <f>SUMIFS(Gastos[Total], Gastos[Mes], J$1, Gastos[Tipo], $B28)</f>
        <v>6710</v>
      </c>
      <c r="K28" s="100">
        <f>SUMIFS(Gastos[Total], Gastos[Mes], K$1, Gastos[Tipo], $B28)</f>
        <v>20100</v>
      </c>
      <c r="L28" s="100">
        <f>SUMIFS(Gastos[Total], Gastos[Mes], L$1, Gastos[Tipo], $B28)</f>
        <v>0</v>
      </c>
      <c r="M28" s="100">
        <f>SUMIFS(Gastos[Total], Gastos[Mes], M$1, Gastos[Tipo], $B28)</f>
        <v>0</v>
      </c>
      <c r="N28" s="100">
        <f>SUMIFS(Gastos[Total], Gastos[Mes], N$1, Gastos[Tipo], $B28)</f>
        <v>0</v>
      </c>
      <c r="O28" s="40">
        <f t="shared" si="5"/>
        <v>102010</v>
      </c>
    </row>
    <row r="29">
      <c r="A29" s="102"/>
      <c r="B29" s="102" t="s">
        <v>34</v>
      </c>
      <c r="C29" s="19">
        <f>SUMIFS(Gastos[Total], Gastos[Mes], C$1, Gastos[Tipo], $B29)</f>
        <v>0</v>
      </c>
      <c r="D29" s="100">
        <f>SUMIFS(Gastos[Total], Gastos[Mes], D$1, Gastos[Tipo], $B29)</f>
        <v>0</v>
      </c>
      <c r="E29" s="100">
        <f>SUMIFS(Gastos[Total], Gastos[Mes], E$1, Gastos[Tipo], $B29)</f>
        <v>83622.75</v>
      </c>
      <c r="F29" s="100">
        <f>SUMIFS(Gastos[Total], Gastos[Mes], F$1, Gastos[Tipo], $B29)</f>
        <v>9500</v>
      </c>
      <c r="G29" s="100">
        <f>SUMIFS(Gastos[Total], Gastos[Mes], G$1, Gastos[Tipo], $B29)</f>
        <v>14000</v>
      </c>
      <c r="H29" s="100">
        <f>SUMIFS(Gastos[Total], Gastos[Mes], H$1, Gastos[Tipo], $B29)</f>
        <v>45116</v>
      </c>
      <c r="I29" s="100">
        <f>SUMIFS(Gastos[Total], Gastos[Mes], I$1, Gastos[Tipo], $B29)</f>
        <v>0</v>
      </c>
      <c r="J29" s="100">
        <f>SUMIFS(Gastos[Total], Gastos[Mes], J$1, Gastos[Tipo], $B29)</f>
        <v>0</v>
      </c>
      <c r="K29" s="100">
        <f>SUMIFS(Gastos[Total], Gastos[Mes], K$1, Gastos[Tipo], $B29)</f>
        <v>44130</v>
      </c>
      <c r="L29" s="100">
        <f>SUMIFS(Gastos[Total], Gastos[Mes], L$1, Gastos[Tipo], $B29)</f>
        <v>0</v>
      </c>
      <c r="M29" s="100">
        <f>SUMIFS(Gastos[Total], Gastos[Mes], M$1, Gastos[Tipo], $B29)</f>
        <v>0</v>
      </c>
      <c r="N29" s="100">
        <f>SUMIFS(Gastos[Total], Gastos[Mes], N$1, Gastos[Tipo], $B29)</f>
        <v>0</v>
      </c>
      <c r="O29" s="40">
        <f t="shared" si="5"/>
        <v>196368.75</v>
      </c>
    </row>
    <row r="30">
      <c r="A30" s="38"/>
      <c r="B30" s="38" t="s">
        <v>38</v>
      </c>
      <c r="C30" s="19">
        <f>SUMIFS(Gastos[Total], Gastos[Mes], C$1, Gastos[Tipo], $B30)</f>
        <v>0</v>
      </c>
      <c r="D30" s="100">
        <f>SUMIFS(Gastos[Total], Gastos[Mes], D$1, Gastos[Tipo], $B30)</f>
        <v>0</v>
      </c>
      <c r="E30" s="100">
        <f>SUMIFS(Gastos[Total], Gastos[Mes], E$1, Gastos[Tipo], $B30)</f>
        <v>30000</v>
      </c>
      <c r="F30" s="100">
        <f>SUMIFS(Gastos[Total], Gastos[Mes], F$1, Gastos[Tipo], $B30)</f>
        <v>0</v>
      </c>
      <c r="G30" s="100">
        <f>SUMIFS(Gastos[Total], Gastos[Mes], G$1, Gastos[Tipo], $B30)</f>
        <v>0</v>
      </c>
      <c r="H30" s="100">
        <f>SUMIFS(Gastos[Total], Gastos[Mes], H$1, Gastos[Tipo], $B30)</f>
        <v>0</v>
      </c>
      <c r="I30" s="100">
        <f>SUMIFS(Gastos[Total], Gastos[Mes], I$1, Gastos[Tipo], $B30)</f>
        <v>0</v>
      </c>
      <c r="J30" s="100">
        <f>SUMIFS(Gastos[Total], Gastos[Mes], J$1, Gastos[Tipo], $B30)</f>
        <v>0</v>
      </c>
      <c r="K30" s="100">
        <f>SUMIFS(Gastos[Total], Gastos[Mes], K$1, Gastos[Tipo], $B30)</f>
        <v>0</v>
      </c>
      <c r="L30" s="100">
        <f>SUMIFS(Gastos[Total], Gastos[Mes], L$1, Gastos[Tipo], $B30)</f>
        <v>0</v>
      </c>
      <c r="M30" s="100">
        <f>SUMIFS(Gastos[Total], Gastos[Mes], M$1, Gastos[Tipo], $B30)</f>
        <v>0</v>
      </c>
      <c r="N30" s="100">
        <f>SUMIFS(Gastos[Total], Gastos[Mes], N$1, Gastos[Tipo], $B30)</f>
        <v>0</v>
      </c>
      <c r="O30" s="40">
        <f t="shared" si="5"/>
        <v>30000</v>
      </c>
    </row>
    <row r="31">
      <c r="A31" s="102"/>
      <c r="B31" s="102" t="s">
        <v>193</v>
      </c>
      <c r="C31" s="19">
        <f>SUMIFS(Gastos[Total], Gastos[Mes], C$1, Gastos[Tipo], $B31)</f>
        <v>0</v>
      </c>
      <c r="D31" s="100">
        <f>SUMIFS(Gastos[Total], Gastos[Mes], D$1, Gastos[Tipo], $B31)</f>
        <v>0</v>
      </c>
      <c r="E31" s="100">
        <f>SUMIFS(Gastos[Total], Gastos[Mes], E$1, Gastos[Tipo], $B31)</f>
        <v>96913.33</v>
      </c>
      <c r="F31" s="100">
        <f>SUMIFS(Gastos[Total], Gastos[Mes], F$1, Gastos[Tipo], $B31)</f>
        <v>96913.33</v>
      </c>
      <c r="G31" s="100">
        <f>SUMIFS(Gastos[Total], Gastos[Mes], G$1, Gastos[Tipo], $B31)</f>
        <v>0</v>
      </c>
      <c r="H31" s="100">
        <f>SUMIFS(Gastos[Total], Gastos[Mes], H$1, Gastos[Tipo], $B31)</f>
        <v>0</v>
      </c>
      <c r="I31" s="100">
        <f>SUMIFS(Gastos[Total], Gastos[Mes], I$1, Gastos[Tipo], $B31)</f>
        <v>0</v>
      </c>
      <c r="J31" s="100">
        <f>SUMIFS(Gastos[Total], Gastos[Mes], J$1, Gastos[Tipo], $B31)</f>
        <v>0</v>
      </c>
      <c r="K31" s="100">
        <f>SUMIFS(Gastos[Total], Gastos[Mes], K$1, Gastos[Tipo], $B31)</f>
        <v>193826.66</v>
      </c>
      <c r="L31" s="100">
        <f>SUMIFS(Gastos[Total], Gastos[Mes], L$1, Gastos[Tipo], $B31)</f>
        <v>0</v>
      </c>
      <c r="M31" s="100">
        <f>SUMIFS(Gastos[Total], Gastos[Mes], M$1, Gastos[Tipo], $B31)</f>
        <v>0</v>
      </c>
      <c r="N31" s="100">
        <f>SUMIFS(Gastos[Total], Gastos[Mes], N$1, Gastos[Tipo], $B31)</f>
        <v>0</v>
      </c>
      <c r="O31" s="40">
        <f t="shared" si="5"/>
        <v>387653.32</v>
      </c>
    </row>
    <row r="32">
      <c r="A32" s="38"/>
      <c r="B32" s="38" t="s">
        <v>157</v>
      </c>
      <c r="C32" s="19">
        <f>SUMIFS(Gastos[Total], Gastos[Mes], C$1, Gastos[Tipo], $B32)</f>
        <v>0</v>
      </c>
      <c r="D32" s="100">
        <f>SUMIFS(Gastos[Total], Gastos[Mes], D$1, Gastos[Tipo], $B32)</f>
        <v>0</v>
      </c>
      <c r="E32" s="100">
        <f>SUMIFS(Gastos[Total], Gastos[Mes], E$1, Gastos[Tipo], $B32)</f>
        <v>0</v>
      </c>
      <c r="F32" s="100">
        <f>SUMIFS(Gastos[Total], Gastos[Mes], F$1, Gastos[Tipo], $B32)</f>
        <v>0</v>
      </c>
      <c r="G32" s="100">
        <f>SUMIFS(Gastos[Total], Gastos[Mes], G$1, Gastos[Tipo], $B32)</f>
        <v>0</v>
      </c>
      <c r="H32" s="100">
        <f>SUMIFS(Gastos[Total], Gastos[Mes], H$1, Gastos[Tipo], $B32)</f>
        <v>0</v>
      </c>
      <c r="I32" s="100">
        <f>SUMIFS(Gastos[Total], Gastos[Mes], I$1, Gastos[Tipo], $B32)</f>
        <v>0</v>
      </c>
      <c r="J32" s="100">
        <f>SUMIFS(Gastos[Total], Gastos[Mes], J$1, Gastos[Tipo], $B32)</f>
        <v>8300</v>
      </c>
      <c r="K32" s="100">
        <f>SUMIFS(Gastos[Total], Gastos[Mes], K$1, Gastos[Tipo], $B32)</f>
        <v>6362</v>
      </c>
      <c r="L32" s="100">
        <f>SUMIFS(Gastos[Total], Gastos[Mes], L$1, Gastos[Tipo], $B32)</f>
        <v>0</v>
      </c>
      <c r="M32" s="100">
        <f>SUMIFS(Gastos[Total], Gastos[Mes], M$1, Gastos[Tipo], $B32)</f>
        <v>0</v>
      </c>
      <c r="N32" s="100">
        <f>SUMIFS(Gastos[Total], Gastos[Mes], N$1, Gastos[Tipo], $B32)</f>
        <v>0</v>
      </c>
      <c r="O32" s="40">
        <f t="shared" si="5"/>
        <v>14662</v>
      </c>
    </row>
    <row r="33">
      <c r="A33" s="94" t="s">
        <v>244</v>
      </c>
      <c r="C33" s="40">
        <f t="shared" ref="C33:N33" si="6">SUM(C18:C32)</f>
        <v>0</v>
      </c>
      <c r="D33" s="40">
        <f t="shared" si="6"/>
        <v>0</v>
      </c>
      <c r="E33" s="40">
        <f t="shared" si="6"/>
        <v>2488356.08</v>
      </c>
      <c r="F33" s="40">
        <f t="shared" si="6"/>
        <v>2039818.33</v>
      </c>
      <c r="G33" s="40">
        <f t="shared" si="6"/>
        <v>2267902.72</v>
      </c>
      <c r="H33" s="40">
        <f t="shared" si="6"/>
        <v>1955521</v>
      </c>
      <c r="I33" s="40">
        <f t="shared" si="6"/>
        <v>1591230</v>
      </c>
      <c r="J33" s="40">
        <f t="shared" si="6"/>
        <v>1825195</v>
      </c>
      <c r="K33" s="40">
        <f t="shared" si="6"/>
        <v>2889098.66</v>
      </c>
      <c r="L33" s="40">
        <f t="shared" si="6"/>
        <v>0</v>
      </c>
      <c r="M33" s="40">
        <f t="shared" si="6"/>
        <v>0</v>
      </c>
      <c r="N33" s="40">
        <f t="shared" si="6"/>
        <v>0</v>
      </c>
      <c r="O33" s="40">
        <f t="shared" si="5"/>
        <v>15057121.79</v>
      </c>
    </row>
    <row r="35">
      <c r="A35" s="6" t="s">
        <v>245</v>
      </c>
      <c r="B35" s="7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6"/>
    </row>
    <row r="36">
      <c r="A36" s="9"/>
      <c r="B36" s="121" t="s">
        <v>246</v>
      </c>
      <c r="C36" s="122">
        <f t="shared" ref="C36:N36" si="7">C16-C33</f>
        <v>0</v>
      </c>
      <c r="D36" s="122">
        <f t="shared" si="7"/>
        <v>1285000</v>
      </c>
      <c r="E36" s="122">
        <f t="shared" si="7"/>
        <v>-308356.08</v>
      </c>
      <c r="F36" s="122">
        <f t="shared" si="7"/>
        <v>-244818.33</v>
      </c>
      <c r="G36" s="122">
        <f t="shared" si="7"/>
        <v>-312902.72</v>
      </c>
      <c r="H36" s="122">
        <f t="shared" si="7"/>
        <v>-100521</v>
      </c>
      <c r="I36" s="122">
        <f t="shared" si="7"/>
        <v>113770</v>
      </c>
      <c r="J36" s="122">
        <f t="shared" si="7"/>
        <v>139805</v>
      </c>
      <c r="K36" s="122">
        <f t="shared" si="7"/>
        <v>-1159098.66</v>
      </c>
      <c r="L36" s="122">
        <f t="shared" si="7"/>
        <v>900000</v>
      </c>
      <c r="M36" s="122">
        <f t="shared" si="7"/>
        <v>0</v>
      </c>
      <c r="N36" s="122">
        <f t="shared" si="7"/>
        <v>0</v>
      </c>
    </row>
    <row r="37">
      <c r="A37" s="7"/>
      <c r="B37" s="121" t="s">
        <v>248</v>
      </c>
      <c r="C37" s="122">
        <f t="shared" ref="C37:N37" si="8">C36+C5</f>
        <v>3265527.27</v>
      </c>
      <c r="D37" s="122">
        <f t="shared" si="8"/>
        <v>4550527.27</v>
      </c>
      <c r="E37" s="122">
        <f t="shared" si="8"/>
        <v>4242171.19</v>
      </c>
      <c r="F37" s="122">
        <f t="shared" si="8"/>
        <v>3997352.86</v>
      </c>
      <c r="G37" s="122">
        <f t="shared" si="8"/>
        <v>3684450.14</v>
      </c>
      <c r="H37" s="122">
        <f t="shared" si="8"/>
        <v>3583929.14</v>
      </c>
      <c r="I37" s="122">
        <f t="shared" si="8"/>
        <v>3697699.14</v>
      </c>
      <c r="J37" s="122">
        <f t="shared" si="8"/>
        <v>3837504.14</v>
      </c>
      <c r="K37" s="122">
        <f t="shared" si="8"/>
        <v>2678405.48</v>
      </c>
      <c r="L37" s="122">
        <f t="shared" si="8"/>
        <v>3578405.48</v>
      </c>
      <c r="M37" s="122">
        <f t="shared" si="8"/>
        <v>3578405.48</v>
      </c>
      <c r="N37" s="122">
        <f t="shared" si="8"/>
        <v>3578405.48</v>
      </c>
    </row>
    <row r="38">
      <c r="A38" s="7"/>
      <c r="B38" s="121" t="s">
        <v>249</v>
      </c>
      <c r="C38" s="122">
        <f>C36+C3</f>
        <v>1188056.14</v>
      </c>
      <c r="D38" s="122">
        <f t="shared" ref="D38:N38" si="9">D36+C38</f>
        <v>2473056.14</v>
      </c>
      <c r="E38" s="122">
        <f t="shared" si="9"/>
        <v>2164700.06</v>
      </c>
      <c r="F38" s="122">
        <f t="shared" si="9"/>
        <v>1919881.73</v>
      </c>
      <c r="G38" s="122">
        <f t="shared" si="9"/>
        <v>1606979.01</v>
      </c>
      <c r="H38" s="122">
        <f t="shared" si="9"/>
        <v>1506458.01</v>
      </c>
      <c r="I38" s="122">
        <f t="shared" si="9"/>
        <v>1620228.01</v>
      </c>
      <c r="J38" s="122">
        <f t="shared" si="9"/>
        <v>1760033.01</v>
      </c>
      <c r="K38" s="122">
        <f t="shared" si="9"/>
        <v>600934.35</v>
      </c>
      <c r="L38" s="122">
        <f t="shared" si="9"/>
        <v>1500934.35</v>
      </c>
      <c r="M38" s="122">
        <f t="shared" si="9"/>
        <v>1500934.35</v>
      </c>
      <c r="N38" s="122">
        <f t="shared" si="9"/>
        <v>1500934.35</v>
      </c>
    </row>
  </sheetData>
  <mergeCells count="3">
    <mergeCell ref="A1:B1"/>
    <mergeCell ref="A16:B16"/>
    <mergeCell ref="A33:B33"/>
  </mergeCells>
  <conditionalFormatting sqref="C17 C35">
    <cfRule type="notContainsBlanks" dxfId="11" priority="1">
      <formula>LEN(TRIM(C17))&gt;0</formula>
    </cfRule>
  </conditionalFormatting>
  <conditionalFormatting sqref="C36:N38">
    <cfRule type="cellIs" dxfId="8" priority="2" operator="greaterThan">
      <formula>0</formula>
    </cfRule>
  </conditionalFormatting>
  <conditionalFormatting sqref="C36:N38">
    <cfRule type="cellIs" dxfId="10" priority="3" operator="equal">
      <formula>0</formula>
    </cfRule>
  </conditionalFormatting>
  <conditionalFormatting sqref="C36:N38">
    <cfRule type="cellIs" dxfId="12" priority="4" operator="lessThan">
      <formula>0</formula>
    </cfRule>
  </conditionalFormatting>
  <dataValidations>
    <dataValidation type="list" allowBlank="1" showErrorMessage="1" sqref="A7:A15">
      <formula1>Tipo_Ingresos[Descripción]</formula1>
    </dataValidation>
  </dataValidations>
  <drawing r:id="rId4"/>
  <legacyDrawing r:id="rId5"/>
  <tableParts count="3"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26.71"/>
    <col customWidth="1" min="3" max="4" width="10.71"/>
    <col customWidth="1" min="5" max="5" width="9.86"/>
    <col customWidth="1" min="6" max="9" width="10.71"/>
    <col customWidth="1" min="10" max="10" width="13.29"/>
    <col customWidth="1" min="11" max="11" width="10.71"/>
    <col customWidth="1" min="12" max="12" width="12.29"/>
    <col customWidth="1" min="13" max="13" width="10.71"/>
    <col customWidth="1" min="14" max="14" width="9.29"/>
    <col customWidth="1" min="15" max="15" width="8.86"/>
    <col customWidth="1" min="16" max="16" width="18.57"/>
    <col customWidth="1" min="17" max="17" width="13.29"/>
    <col customWidth="1" min="18" max="18" width="6.43"/>
    <col customWidth="1" min="19" max="19" width="6.86"/>
    <col customWidth="1" min="20" max="20" width="9.0"/>
    <col customWidth="1" min="21" max="26" width="36.0"/>
  </cols>
  <sheetData>
    <row r="1" ht="288.75" customHeight="1"/>
    <row r="3"/>
    <row r="4"/>
    <row r="5"/>
    <row r="6"/>
    <row r="7"/>
    <row r="8"/>
    <row r="9"/>
    <row r="10">
      <c r="N10" s="55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</sheetData>
  <conditionalFormatting sqref="B5:K100">
    <cfRule type="cellIs" dxfId="8" priority="1" operator="greaterThan">
      <formula>0</formula>
    </cfRule>
  </conditionalFormatting>
  <conditionalFormatting sqref="B5:K100">
    <cfRule type="containsBlanks" dxfId="9" priority="2">
      <formula>LEN(TRIM(B5))=0</formula>
    </cfRule>
  </conditionalFormatting>
  <conditionalFormatting sqref="B5:K100">
    <cfRule type="cellIs" dxfId="10" priority="3" operator="equal">
      <formula>0</formula>
    </cfRule>
  </conditionalFormatting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5.14"/>
    <col customWidth="1" min="2" max="2" width="39.57"/>
    <col customWidth="1" min="3" max="3" width="16.71"/>
    <col customWidth="1" min="4" max="4" width="17.57"/>
    <col customWidth="1" min="5" max="5" width="14.57"/>
    <col customWidth="1" min="6" max="7" width="25.86"/>
    <col customWidth="1" min="8" max="8" width="23.0"/>
    <col customWidth="1" min="9" max="9" width="19.43"/>
  </cols>
  <sheetData>
    <row r="1">
      <c r="F1" s="11"/>
      <c r="G1" s="11"/>
    </row>
    <row r="2">
      <c r="E2" s="14" t="s">
        <v>19</v>
      </c>
      <c r="F2" s="11"/>
      <c r="G2" s="11"/>
    </row>
    <row r="3">
      <c r="E3" s="20">
        <f>C3-D3</f>
        <v>6794045</v>
      </c>
      <c r="F3" s="11"/>
      <c r="G3" s="11"/>
    </row>
    <row r="4">
      <c r="E4" s="20">
        <f t="shared" ref="E4:E5" si="1">E3+C4-D4</f>
        <v>3884149</v>
      </c>
      <c r="F4" s="11"/>
      <c r="G4" s="11"/>
    </row>
    <row r="5">
      <c r="E5" s="21">
        <f t="shared" si="1"/>
        <v>2077471.13</v>
      </c>
      <c r="F5" s="11"/>
      <c r="G5" s="11"/>
    </row>
    <row r="6">
      <c r="A6" s="11"/>
      <c r="B6" s="11"/>
      <c r="C6" s="11"/>
      <c r="D6" s="11"/>
      <c r="E6" s="11"/>
      <c r="F6" s="11"/>
      <c r="G6" s="11"/>
    </row>
    <row r="7">
      <c r="A7" s="11"/>
      <c r="B7" s="11"/>
      <c r="C7" s="11"/>
      <c r="D7" s="11"/>
      <c r="E7" s="11"/>
      <c r="F7" s="11"/>
      <c r="G7" s="11"/>
    </row>
    <row r="8" ht="22.5" customHeight="1">
      <c r="A8" s="3" t="s">
        <v>0</v>
      </c>
      <c r="B8" s="3" t="s">
        <v>25</v>
      </c>
      <c r="C8" s="3" t="s">
        <v>2</v>
      </c>
      <c r="D8" s="3" t="s">
        <v>3</v>
      </c>
      <c r="E8" s="3" t="s">
        <v>4</v>
      </c>
      <c r="F8" s="3" t="s">
        <v>1</v>
      </c>
      <c r="G8" s="3" t="s">
        <v>27</v>
      </c>
      <c r="H8" s="3" t="s">
        <v>6</v>
      </c>
      <c r="I8" s="4" t="s">
        <v>28</v>
      </c>
      <c r="J8" s="4" t="s">
        <v>11</v>
      </c>
      <c r="K8" s="4" t="s">
        <v>12</v>
      </c>
    </row>
    <row r="9" ht="22.5" customHeight="1">
      <c r="A9" s="13">
        <v>45839.0</v>
      </c>
      <c r="B9" s="24" t="s">
        <v>30</v>
      </c>
      <c r="C9" s="16">
        <v>1454045.0</v>
      </c>
      <c r="D9" s="17">
        <v>1.0</v>
      </c>
      <c r="E9" s="16">
        <f t="shared" ref="E9:E31" si="2">C9*D9</f>
        <v>1454045</v>
      </c>
      <c r="F9" s="15" t="s">
        <v>16</v>
      </c>
      <c r="G9" s="15" t="s">
        <v>31</v>
      </c>
      <c r="H9" s="27"/>
      <c r="J9" s="26" t="str">
        <f t="shared" ref="J9:J31" si="3">CONCATENATE(TEXT(A9,"MM")," - ", TEXT(A9,"MMMM"))</f>
        <v>07 - julio</v>
      </c>
      <c r="K9" s="26" t="str">
        <f t="shared" ref="K9:K31" si="4">TEXT(A9,"YYYY")</f>
        <v>2025</v>
      </c>
    </row>
    <row r="10" ht="22.5" customHeight="1">
      <c r="A10" s="13">
        <v>45839.0</v>
      </c>
      <c r="B10" s="30" t="s">
        <v>33</v>
      </c>
      <c r="C10" s="16">
        <v>1824000.0</v>
      </c>
      <c r="D10" s="17">
        <v>1.0</v>
      </c>
      <c r="E10" s="22">
        <f t="shared" si="2"/>
        <v>1824000</v>
      </c>
      <c r="F10" s="15" t="s">
        <v>16</v>
      </c>
      <c r="G10" s="15" t="s">
        <v>31</v>
      </c>
      <c r="H10" s="27"/>
      <c r="J10" s="26" t="str">
        <f t="shared" si="3"/>
        <v>07 - julio</v>
      </c>
      <c r="K10" s="26" t="str">
        <f t="shared" si="4"/>
        <v>2025</v>
      </c>
    </row>
    <row r="11" ht="22.5" customHeight="1">
      <c r="A11" s="13">
        <v>45839.0</v>
      </c>
      <c r="B11" s="24" t="s">
        <v>35</v>
      </c>
      <c r="C11" s="16">
        <v>3516000.0</v>
      </c>
      <c r="D11" s="17">
        <v>1.0</v>
      </c>
      <c r="E11" s="22">
        <f t="shared" si="2"/>
        <v>3516000</v>
      </c>
      <c r="F11" s="15" t="s">
        <v>16</v>
      </c>
      <c r="G11" s="15" t="s">
        <v>31</v>
      </c>
      <c r="H11" s="27"/>
      <c r="J11" s="26" t="str">
        <f t="shared" si="3"/>
        <v>07 - julio</v>
      </c>
      <c r="K11" s="26" t="str">
        <f t="shared" si="4"/>
        <v>2025</v>
      </c>
    </row>
    <row r="12" ht="22.5" customHeight="1">
      <c r="A12" s="13">
        <v>45992.0</v>
      </c>
      <c r="B12" s="30" t="s">
        <v>37</v>
      </c>
      <c r="C12" s="16">
        <v>670000.0</v>
      </c>
      <c r="D12" s="17">
        <v>1.0</v>
      </c>
      <c r="E12" s="22">
        <f t="shared" si="2"/>
        <v>670000</v>
      </c>
      <c r="F12" s="15" t="s">
        <v>17</v>
      </c>
      <c r="G12" s="15" t="s">
        <v>31</v>
      </c>
      <c r="H12" s="27"/>
      <c r="J12" s="26" t="str">
        <f t="shared" si="3"/>
        <v>12 - diciembre</v>
      </c>
      <c r="K12" s="26" t="str">
        <f t="shared" si="4"/>
        <v>2025</v>
      </c>
    </row>
    <row r="13" ht="22.5" customHeight="1">
      <c r="A13" s="13">
        <v>45991.0</v>
      </c>
      <c r="B13" s="30" t="s">
        <v>41</v>
      </c>
      <c r="C13" s="16">
        <v>12000.0</v>
      </c>
      <c r="D13" s="17">
        <v>1.0</v>
      </c>
      <c r="E13" s="22">
        <f t="shared" si="2"/>
        <v>12000</v>
      </c>
      <c r="F13" s="15" t="s">
        <v>17</v>
      </c>
      <c r="G13" s="15" t="s">
        <v>31</v>
      </c>
      <c r="H13" s="27"/>
      <c r="J13" s="26" t="str">
        <f t="shared" si="3"/>
        <v>11 - noviembre</v>
      </c>
      <c r="K13" s="26" t="str">
        <f t="shared" si="4"/>
        <v>2025</v>
      </c>
    </row>
    <row r="14" ht="22.5" customHeight="1">
      <c r="A14" s="13">
        <v>45991.0</v>
      </c>
      <c r="B14" s="30" t="s">
        <v>45</v>
      </c>
      <c r="C14" s="16">
        <v>26000.0</v>
      </c>
      <c r="D14" s="17">
        <v>1.0</v>
      </c>
      <c r="E14" s="22">
        <f t="shared" si="2"/>
        <v>26000</v>
      </c>
      <c r="F14" s="15" t="s">
        <v>17</v>
      </c>
      <c r="G14" s="15" t="s">
        <v>31</v>
      </c>
      <c r="H14" s="27"/>
      <c r="J14" s="26" t="str">
        <f t="shared" si="3"/>
        <v>11 - noviembre</v>
      </c>
      <c r="K14" s="26" t="str">
        <f t="shared" si="4"/>
        <v>2025</v>
      </c>
    </row>
    <row r="15" ht="22.5" customHeight="1">
      <c r="A15" s="13">
        <v>45992.0</v>
      </c>
      <c r="B15" s="30" t="s">
        <v>47</v>
      </c>
      <c r="C15" s="16">
        <v>373700.0</v>
      </c>
      <c r="D15" s="17">
        <v>1.0</v>
      </c>
      <c r="E15" s="22">
        <f t="shared" si="2"/>
        <v>373700</v>
      </c>
      <c r="F15" s="15" t="s">
        <v>17</v>
      </c>
      <c r="G15" s="15" t="s">
        <v>31</v>
      </c>
      <c r="H15" s="27"/>
      <c r="J15" s="26" t="str">
        <f t="shared" si="3"/>
        <v>12 - diciembre</v>
      </c>
      <c r="K15" s="26" t="str">
        <f t="shared" si="4"/>
        <v>2025</v>
      </c>
    </row>
    <row r="16" ht="22.5" customHeight="1">
      <c r="A16" s="13">
        <v>45992.0</v>
      </c>
      <c r="B16" s="30" t="s">
        <v>49</v>
      </c>
      <c r="C16" s="16">
        <v>20000.0</v>
      </c>
      <c r="D16" s="17">
        <v>1.0</v>
      </c>
      <c r="E16" s="22">
        <f t="shared" si="2"/>
        <v>20000</v>
      </c>
      <c r="F16" s="15" t="s">
        <v>17</v>
      </c>
      <c r="G16" s="15" t="s">
        <v>31</v>
      </c>
      <c r="H16" s="27"/>
      <c r="J16" s="26" t="str">
        <f t="shared" si="3"/>
        <v>12 - diciembre</v>
      </c>
      <c r="K16" s="26" t="str">
        <f t="shared" si="4"/>
        <v>2025</v>
      </c>
    </row>
    <row r="17" ht="22.5" customHeight="1">
      <c r="A17" s="13">
        <v>45992.0</v>
      </c>
      <c r="B17" s="30" t="s">
        <v>59</v>
      </c>
      <c r="C17" s="16">
        <v>30000.0</v>
      </c>
      <c r="D17" s="17">
        <v>1.0</v>
      </c>
      <c r="E17" s="22">
        <f t="shared" si="2"/>
        <v>30000</v>
      </c>
      <c r="F17" s="15" t="s">
        <v>17</v>
      </c>
      <c r="G17" s="15" t="s">
        <v>31</v>
      </c>
      <c r="H17" s="27"/>
      <c r="J17" s="26" t="str">
        <f t="shared" si="3"/>
        <v>12 - diciembre</v>
      </c>
      <c r="K17" s="26" t="str">
        <f t="shared" si="4"/>
        <v>2025</v>
      </c>
    </row>
    <row r="18" ht="22.5" customHeight="1">
      <c r="A18" s="13">
        <v>45992.0</v>
      </c>
      <c r="B18" s="30" t="s">
        <v>61</v>
      </c>
      <c r="C18" s="16">
        <v>405000.0</v>
      </c>
      <c r="D18" s="17">
        <v>1.0</v>
      </c>
      <c r="E18" s="22">
        <f t="shared" si="2"/>
        <v>405000</v>
      </c>
      <c r="F18" s="15" t="s">
        <v>17</v>
      </c>
      <c r="G18" s="15" t="s">
        <v>31</v>
      </c>
      <c r="H18" s="27"/>
      <c r="J18" s="26" t="str">
        <f t="shared" si="3"/>
        <v>12 - diciembre</v>
      </c>
      <c r="K18" s="26" t="str">
        <f t="shared" si="4"/>
        <v>2025</v>
      </c>
    </row>
    <row r="19" ht="22.5" customHeight="1">
      <c r="A19" s="13">
        <v>45966.0</v>
      </c>
      <c r="B19" s="30" t="s">
        <v>71</v>
      </c>
      <c r="C19" s="16">
        <v>100000.0</v>
      </c>
      <c r="D19" s="17">
        <v>1.0</v>
      </c>
      <c r="E19" s="22">
        <f t="shared" si="2"/>
        <v>100000</v>
      </c>
      <c r="F19" s="15" t="s">
        <v>17</v>
      </c>
      <c r="G19" s="15" t="s">
        <v>31</v>
      </c>
      <c r="H19" s="27"/>
      <c r="J19" s="26" t="str">
        <f t="shared" si="3"/>
        <v>11 - noviembre</v>
      </c>
      <c r="K19" s="26" t="str">
        <f t="shared" si="4"/>
        <v>2025</v>
      </c>
    </row>
    <row r="20" ht="22.5" customHeight="1">
      <c r="A20" s="13">
        <v>45991.0</v>
      </c>
      <c r="B20" s="30" t="s">
        <v>79</v>
      </c>
      <c r="C20" s="16">
        <v>814800.0</v>
      </c>
      <c r="D20" s="17">
        <v>1.0</v>
      </c>
      <c r="E20" s="22">
        <f t="shared" si="2"/>
        <v>814800</v>
      </c>
      <c r="F20" s="15" t="s">
        <v>17</v>
      </c>
      <c r="G20" s="15" t="s">
        <v>31</v>
      </c>
      <c r="H20" s="27"/>
      <c r="J20" s="26" t="str">
        <f t="shared" si="3"/>
        <v>11 - noviembre</v>
      </c>
      <c r="K20" s="26" t="str">
        <f t="shared" si="4"/>
        <v>2025</v>
      </c>
    </row>
    <row r="21" ht="22.5" customHeight="1">
      <c r="A21" s="13">
        <v>45980.0</v>
      </c>
      <c r="B21" s="30" t="s">
        <v>84</v>
      </c>
      <c r="C21" s="16">
        <v>280000.0</v>
      </c>
      <c r="D21" s="17">
        <v>1.0</v>
      </c>
      <c r="E21" s="22">
        <f t="shared" si="2"/>
        <v>280000</v>
      </c>
      <c r="F21" s="15" t="s">
        <v>17</v>
      </c>
      <c r="G21" s="15" t="s">
        <v>31</v>
      </c>
      <c r="H21" s="27"/>
      <c r="J21" s="26" t="str">
        <f t="shared" si="3"/>
        <v>11 - noviembre</v>
      </c>
      <c r="K21" s="26" t="str">
        <f t="shared" si="4"/>
        <v>2025</v>
      </c>
    </row>
    <row r="22" ht="22.5" customHeight="1">
      <c r="A22" s="13">
        <v>45992.0</v>
      </c>
      <c r="B22" s="30" t="s">
        <v>89</v>
      </c>
      <c r="C22" s="16">
        <v>13000.0</v>
      </c>
      <c r="D22" s="17">
        <v>1.0</v>
      </c>
      <c r="E22" s="22">
        <f t="shared" si="2"/>
        <v>13000</v>
      </c>
      <c r="F22" s="15" t="s">
        <v>17</v>
      </c>
      <c r="G22" s="15" t="s">
        <v>31</v>
      </c>
      <c r="H22" s="27"/>
      <c r="J22" s="26" t="str">
        <f t="shared" si="3"/>
        <v>12 - diciembre</v>
      </c>
      <c r="K22" s="26" t="str">
        <f t="shared" si="4"/>
        <v>2025</v>
      </c>
    </row>
    <row r="23" ht="22.5" customHeight="1">
      <c r="A23" s="13">
        <v>45990.0</v>
      </c>
      <c r="B23" s="30" t="s">
        <v>90</v>
      </c>
      <c r="C23" s="16">
        <v>405000.0</v>
      </c>
      <c r="D23" s="17">
        <v>1.0</v>
      </c>
      <c r="E23" s="22">
        <f t="shared" si="2"/>
        <v>405000</v>
      </c>
      <c r="F23" s="15" t="s">
        <v>17</v>
      </c>
      <c r="G23" s="15" t="s">
        <v>31</v>
      </c>
      <c r="H23" s="27"/>
      <c r="J23" s="26" t="str">
        <f t="shared" si="3"/>
        <v>11 - noviembre</v>
      </c>
      <c r="K23" s="26" t="str">
        <f t="shared" si="4"/>
        <v>2025</v>
      </c>
    </row>
    <row r="24" ht="22.5" customHeight="1">
      <c r="A24" s="13">
        <v>45971.0</v>
      </c>
      <c r="B24" s="30" t="s">
        <v>95</v>
      </c>
      <c r="C24" s="16">
        <v>305457.0</v>
      </c>
      <c r="D24" s="17">
        <v>1.0</v>
      </c>
      <c r="E24" s="22">
        <f t="shared" si="2"/>
        <v>305457</v>
      </c>
      <c r="F24" s="15" t="s">
        <v>17</v>
      </c>
      <c r="G24" s="15" t="s">
        <v>31</v>
      </c>
      <c r="H24" s="27"/>
      <c r="J24" s="26" t="str">
        <f t="shared" si="3"/>
        <v>11 - noviembre</v>
      </c>
      <c r="K24" s="26" t="str">
        <f t="shared" si="4"/>
        <v>2025</v>
      </c>
    </row>
    <row r="25" ht="22.5" customHeight="1">
      <c r="A25" s="13">
        <v>45971.0</v>
      </c>
      <c r="B25" s="30" t="s">
        <v>104</v>
      </c>
      <c r="C25" s="16">
        <v>90000.0</v>
      </c>
      <c r="D25" s="17">
        <v>1.0</v>
      </c>
      <c r="E25" s="22">
        <f t="shared" si="2"/>
        <v>90000</v>
      </c>
      <c r="F25" s="15" t="s">
        <v>17</v>
      </c>
      <c r="G25" s="15" t="s">
        <v>31</v>
      </c>
      <c r="H25" s="27"/>
      <c r="J25" s="26" t="str">
        <f t="shared" si="3"/>
        <v>11 - noviembre</v>
      </c>
      <c r="K25" s="26" t="str">
        <f t="shared" si="4"/>
        <v>2025</v>
      </c>
    </row>
    <row r="26" ht="22.5" customHeight="1">
      <c r="A26" s="13">
        <v>45979.0</v>
      </c>
      <c r="B26" s="30" t="s">
        <v>115</v>
      </c>
      <c r="C26" s="16">
        <v>117400.0</v>
      </c>
      <c r="D26" s="17">
        <v>1.0</v>
      </c>
      <c r="E26" s="22">
        <f t="shared" si="2"/>
        <v>117400</v>
      </c>
      <c r="F26" s="15" t="s">
        <v>17</v>
      </c>
      <c r="G26" s="15" t="s">
        <v>31</v>
      </c>
      <c r="H26" s="27"/>
      <c r="J26" s="26" t="str">
        <f t="shared" si="3"/>
        <v>11 - noviembre</v>
      </c>
      <c r="K26" s="26" t="str">
        <f t="shared" si="4"/>
        <v>2025</v>
      </c>
    </row>
    <row r="27" ht="22.5" customHeight="1">
      <c r="A27" s="13">
        <v>45981.0</v>
      </c>
      <c r="B27" s="30" t="s">
        <v>123</v>
      </c>
      <c r="C27" s="16">
        <v>160000.0</v>
      </c>
      <c r="D27" s="17">
        <v>1.0</v>
      </c>
      <c r="E27" s="22">
        <f t="shared" si="2"/>
        <v>160000</v>
      </c>
      <c r="F27" s="15" t="s">
        <v>17</v>
      </c>
      <c r="G27" s="15" t="s">
        <v>31</v>
      </c>
      <c r="H27" s="27"/>
      <c r="J27" s="26" t="str">
        <f t="shared" si="3"/>
        <v>11 - noviembre</v>
      </c>
      <c r="K27" s="26" t="str">
        <f t="shared" si="4"/>
        <v>2025</v>
      </c>
    </row>
    <row r="28" ht="22.5" customHeight="1">
      <c r="A28" s="13">
        <v>46006.0</v>
      </c>
      <c r="B28" s="30" t="s">
        <v>129</v>
      </c>
      <c r="C28" s="16">
        <v>141138.0</v>
      </c>
      <c r="D28" s="17">
        <v>1.0</v>
      </c>
      <c r="E28" s="22">
        <f t="shared" si="2"/>
        <v>141138</v>
      </c>
      <c r="F28" s="15" t="s">
        <v>17</v>
      </c>
      <c r="G28" s="15" t="s">
        <v>31</v>
      </c>
      <c r="H28" s="27"/>
      <c r="J28" s="26" t="str">
        <f t="shared" si="3"/>
        <v>12 - diciembre</v>
      </c>
      <c r="K28" s="26" t="str">
        <f t="shared" si="4"/>
        <v>2025</v>
      </c>
    </row>
    <row r="29" ht="22.5" customHeight="1">
      <c r="A29" s="13">
        <v>46004.0</v>
      </c>
      <c r="B29" s="30" t="s">
        <v>139</v>
      </c>
      <c r="C29" s="16">
        <v>34600.0</v>
      </c>
      <c r="D29" s="17">
        <v>1.0</v>
      </c>
      <c r="E29" s="22">
        <f t="shared" si="2"/>
        <v>34600</v>
      </c>
      <c r="F29" s="15" t="s">
        <v>17</v>
      </c>
      <c r="G29" s="15" t="s">
        <v>31</v>
      </c>
      <c r="H29" s="27"/>
      <c r="J29" s="26" t="str">
        <f t="shared" si="3"/>
        <v>12 - diciembre</v>
      </c>
      <c r="K29" s="26" t="str">
        <f t="shared" si="4"/>
        <v>2025</v>
      </c>
    </row>
    <row r="30" ht="22.5" customHeight="1">
      <c r="A30" s="13">
        <v>45972.0</v>
      </c>
      <c r="B30" s="30" t="s">
        <v>149</v>
      </c>
      <c r="C30" s="16">
        <v>599239.0</v>
      </c>
      <c r="D30" s="17">
        <v>1.0</v>
      </c>
      <c r="E30" s="22">
        <f t="shared" si="2"/>
        <v>599239</v>
      </c>
      <c r="F30" s="15" t="s">
        <v>17</v>
      </c>
      <c r="G30" s="15" t="s">
        <v>31</v>
      </c>
      <c r="H30" s="27"/>
      <c r="J30" s="26" t="str">
        <f t="shared" si="3"/>
        <v>11 - noviembre</v>
      </c>
      <c r="K30" s="26" t="str">
        <f t="shared" si="4"/>
        <v>2025</v>
      </c>
    </row>
    <row r="31" ht="22.5" customHeight="1">
      <c r="A31" s="13">
        <v>46013.0</v>
      </c>
      <c r="B31" s="30" t="s">
        <v>149</v>
      </c>
      <c r="C31" s="16">
        <v>119239.87</v>
      </c>
      <c r="D31" s="17">
        <v>1.0</v>
      </c>
      <c r="E31" s="22">
        <f t="shared" si="2"/>
        <v>119239.87</v>
      </c>
      <c r="F31" s="15" t="s">
        <v>17</v>
      </c>
      <c r="G31" s="15" t="s">
        <v>31</v>
      </c>
      <c r="H31" s="27"/>
      <c r="J31" s="26" t="str">
        <f t="shared" si="3"/>
        <v>12 - diciembre</v>
      </c>
      <c r="K31" s="26" t="str">
        <f t="shared" si="4"/>
        <v>2025</v>
      </c>
    </row>
  </sheetData>
  <dataValidations>
    <dataValidation type="custom" allowBlank="1" showDropDown="1" sqref="A9:A31">
      <formula1>OR(NOT(ISERROR(DATEVALUE(A9))), AND(ISNUMBER(A9), LEFT(CELL("format", A9))="D"))</formula1>
    </dataValidation>
    <dataValidation type="custom" allowBlank="1" showDropDown="1" sqref="C9:E31">
      <formula1>AND(ISNUMBER(C9),(NOT(OR(NOT(ISERROR(DATEVALUE(C9))), AND(ISNUMBER(C9), LEFT(CELL("format", C9))="D")))))</formula1>
    </dataValidation>
    <dataValidation type="list" allowBlank="1" sqref="G9:G31">
      <formula1>#REF!</formula1>
    </dataValidation>
    <dataValidation allowBlank="1" showDropDown="1" sqref="B9:B31"/>
    <dataValidation type="list" allowBlank="1" sqref="F9:F31">
      <formula1>"Ingreso,Egreso"</formula1>
    </dataValidation>
  </dataValidation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5.86"/>
    <col customWidth="1" min="3" max="3" width="19.86"/>
    <col customWidth="1" min="4" max="4" width="15.14"/>
    <col customWidth="1" min="5" max="5" width="20.71"/>
    <col customWidth="1" min="6" max="6" width="29.14"/>
    <col customWidth="1" min="7" max="7" width="14.71"/>
    <col customWidth="1" min="8" max="8" width="22.29"/>
    <col customWidth="1" min="9" max="9" width="18.57"/>
    <col customWidth="1" min="12" max="12" width="5.0"/>
    <col customWidth="1" min="14" max="14" width="13.29"/>
    <col customWidth="1" min="15" max="15" width="8.14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11</v>
      </c>
      <c r="K1" s="4" t="s">
        <v>12</v>
      </c>
    </row>
    <row r="2" ht="22.5" hidden="1" customHeight="1">
      <c r="A2" s="13">
        <v>46082.0</v>
      </c>
      <c r="B2" s="15" t="s">
        <v>18</v>
      </c>
      <c r="C2" s="16">
        <v>90000.0</v>
      </c>
      <c r="D2" s="17">
        <v>1.0</v>
      </c>
      <c r="E2" s="22">
        <f t="shared" ref="E2:E134" si="1">C2*D2</f>
        <v>90000</v>
      </c>
      <c r="F2" s="15" t="s">
        <v>24</v>
      </c>
      <c r="G2" s="23" t="s">
        <v>26</v>
      </c>
      <c r="H2" s="24" t="s">
        <v>29</v>
      </c>
      <c r="I2" s="25" t="b">
        <v>1</v>
      </c>
      <c r="J2" s="26" t="str">
        <f t="shared" ref="J2:J134" si="2">CONCATENATE(TEXT(A2,"MM")," - ", TEXT(A2,"MMMM"))</f>
        <v>03 - marzo</v>
      </c>
      <c r="K2" s="26" t="str">
        <f t="shared" ref="K2:K134" si="3">TEXT(A2,"YYYY")</f>
        <v>2026</v>
      </c>
    </row>
    <row r="3" ht="22.5" hidden="1" customHeight="1">
      <c r="A3" s="13">
        <v>46087.0</v>
      </c>
      <c r="B3" s="15" t="s">
        <v>34</v>
      </c>
      <c r="C3" s="22">
        <v>83622.75</v>
      </c>
      <c r="D3" s="17">
        <v>1.0</v>
      </c>
      <c r="E3" s="22">
        <f t="shared" si="1"/>
        <v>83622.75</v>
      </c>
      <c r="F3" s="15" t="s">
        <v>24</v>
      </c>
      <c r="H3" s="31"/>
      <c r="I3" s="25" t="b">
        <v>0</v>
      </c>
      <c r="J3" s="26" t="str">
        <f t="shared" si="2"/>
        <v>03 - marzo</v>
      </c>
      <c r="K3" s="26" t="str">
        <f t="shared" si="3"/>
        <v>2026</v>
      </c>
    </row>
    <row r="4" ht="22.5" hidden="1" customHeight="1">
      <c r="A4" s="13">
        <v>46087.0</v>
      </c>
      <c r="B4" s="15" t="s">
        <v>38</v>
      </c>
      <c r="C4" s="16">
        <v>30000.0</v>
      </c>
      <c r="D4" s="17">
        <v>1.0</v>
      </c>
      <c r="E4" s="22">
        <f t="shared" si="1"/>
        <v>30000</v>
      </c>
      <c r="F4" s="15" t="s">
        <v>24</v>
      </c>
      <c r="G4" s="23" t="s">
        <v>26</v>
      </c>
      <c r="H4" s="31"/>
      <c r="I4" s="25" t="b">
        <v>1</v>
      </c>
      <c r="J4" s="26" t="str">
        <f t="shared" si="2"/>
        <v>03 - marzo</v>
      </c>
      <c r="K4" s="26" t="str">
        <f t="shared" si="3"/>
        <v>2026</v>
      </c>
    </row>
    <row r="5" ht="22.5" hidden="1" customHeight="1">
      <c r="A5" s="13">
        <v>46088.0</v>
      </c>
      <c r="B5" s="15" t="s">
        <v>44</v>
      </c>
      <c r="C5" s="16">
        <v>69000.0</v>
      </c>
      <c r="D5" s="17">
        <v>1.0</v>
      </c>
      <c r="E5" s="22">
        <f t="shared" si="1"/>
        <v>69000</v>
      </c>
      <c r="F5" s="15" t="s">
        <v>24</v>
      </c>
      <c r="G5" s="23" t="s">
        <v>26</v>
      </c>
      <c r="H5" s="31"/>
      <c r="I5" s="25" t="b">
        <v>1</v>
      </c>
      <c r="J5" s="26" t="str">
        <f t="shared" si="2"/>
        <v>03 - marzo</v>
      </c>
      <c r="K5" s="26" t="str">
        <f t="shared" si="3"/>
        <v>2026</v>
      </c>
    </row>
    <row r="6" ht="22.5" hidden="1" customHeight="1">
      <c r="A6" s="13">
        <v>46088.0</v>
      </c>
      <c r="B6" s="15" t="s">
        <v>48</v>
      </c>
      <c r="C6" s="16">
        <v>69000.0</v>
      </c>
      <c r="D6" s="17">
        <v>1.0</v>
      </c>
      <c r="E6" s="22">
        <f t="shared" si="1"/>
        <v>69000</v>
      </c>
      <c r="F6" s="15" t="s">
        <v>24</v>
      </c>
      <c r="G6" s="23" t="s">
        <v>26</v>
      </c>
      <c r="H6" s="31"/>
      <c r="I6" s="25" t="b">
        <v>1</v>
      </c>
      <c r="J6" s="26" t="str">
        <f t="shared" si="2"/>
        <v>03 - marzo</v>
      </c>
      <c r="K6" s="26" t="str">
        <f t="shared" si="3"/>
        <v>2026</v>
      </c>
    </row>
    <row r="7" ht="22.5" hidden="1" customHeight="1">
      <c r="A7" s="13">
        <v>46088.0</v>
      </c>
      <c r="B7" s="47" t="s">
        <v>60</v>
      </c>
      <c r="C7" s="22">
        <v>110000.0</v>
      </c>
      <c r="D7" s="17">
        <v>1.0</v>
      </c>
      <c r="E7" s="22">
        <f t="shared" si="1"/>
        <v>110000</v>
      </c>
      <c r="F7" s="15" t="s">
        <v>24</v>
      </c>
      <c r="H7" s="31"/>
      <c r="I7" s="25" t="b">
        <v>0</v>
      </c>
      <c r="J7" s="26" t="str">
        <f t="shared" si="2"/>
        <v>03 - marzo</v>
      </c>
      <c r="K7" s="26" t="str">
        <f t="shared" si="3"/>
        <v>2026</v>
      </c>
    </row>
    <row r="8" ht="22.5" hidden="1" customHeight="1">
      <c r="A8" s="13">
        <v>46088.0</v>
      </c>
      <c r="B8" s="47" t="s">
        <v>65</v>
      </c>
      <c r="C8" s="16">
        <v>32000.0</v>
      </c>
      <c r="D8" s="17">
        <v>1.0</v>
      </c>
      <c r="E8" s="22">
        <f t="shared" si="1"/>
        <v>32000</v>
      </c>
      <c r="F8" s="15" t="s">
        <v>67</v>
      </c>
      <c r="G8" s="23" t="s">
        <v>26</v>
      </c>
      <c r="H8" s="31"/>
      <c r="I8" s="25" t="b">
        <v>1</v>
      </c>
      <c r="J8" s="26" t="str">
        <f t="shared" si="2"/>
        <v>03 - marzo</v>
      </c>
      <c r="K8" s="26" t="str">
        <f t="shared" si="3"/>
        <v>2026</v>
      </c>
    </row>
    <row r="9" ht="22.5" hidden="1" customHeight="1">
      <c r="A9" s="13">
        <v>46088.0</v>
      </c>
      <c r="B9" s="15" t="s">
        <v>83</v>
      </c>
      <c r="C9" s="16">
        <v>19200.0</v>
      </c>
      <c r="D9" s="17">
        <v>1.0</v>
      </c>
      <c r="E9" s="22">
        <f t="shared" si="1"/>
        <v>19200</v>
      </c>
      <c r="F9" s="15" t="s">
        <v>24</v>
      </c>
      <c r="G9" s="23" t="s">
        <v>26</v>
      </c>
      <c r="H9" s="31"/>
      <c r="I9" s="25" t="b">
        <v>1</v>
      </c>
      <c r="J9" s="26" t="str">
        <f t="shared" si="2"/>
        <v>03 - marzo</v>
      </c>
      <c r="K9" s="26" t="str">
        <f t="shared" si="3"/>
        <v>2026</v>
      </c>
    </row>
    <row r="10" ht="22.5" hidden="1" customHeight="1">
      <c r="A10" s="13">
        <v>46088.0</v>
      </c>
      <c r="B10" s="47" t="s">
        <v>77</v>
      </c>
      <c r="C10" s="22">
        <v>30000.0</v>
      </c>
      <c r="D10" s="17">
        <v>1.0</v>
      </c>
      <c r="E10" s="22">
        <f t="shared" si="1"/>
        <v>30000</v>
      </c>
      <c r="F10" s="15" t="s">
        <v>24</v>
      </c>
      <c r="H10" s="31"/>
      <c r="I10" s="25" t="b">
        <v>0</v>
      </c>
      <c r="J10" s="26" t="str">
        <f t="shared" si="2"/>
        <v>03 - marzo</v>
      </c>
      <c r="K10" s="26" t="str">
        <f t="shared" si="3"/>
        <v>2026</v>
      </c>
    </row>
    <row r="11" ht="22.5" hidden="1" customHeight="1">
      <c r="A11" s="13">
        <v>46088.0</v>
      </c>
      <c r="B11" s="47" t="s">
        <v>91</v>
      </c>
      <c r="C11" s="16">
        <v>84100.0</v>
      </c>
      <c r="D11" s="17">
        <v>1.0</v>
      </c>
      <c r="E11" s="22">
        <f t="shared" si="1"/>
        <v>84100</v>
      </c>
      <c r="F11" s="15" t="s">
        <v>24</v>
      </c>
      <c r="H11" s="31"/>
      <c r="I11" s="25" t="b">
        <v>0</v>
      </c>
      <c r="J11" s="26" t="str">
        <f t="shared" si="2"/>
        <v>03 - marzo</v>
      </c>
      <c r="K11" s="26" t="str">
        <f t="shared" si="3"/>
        <v>2026</v>
      </c>
    </row>
    <row r="12" ht="22.5" hidden="1" customHeight="1">
      <c r="A12" s="13">
        <v>46088.0</v>
      </c>
      <c r="B12" s="47" t="s">
        <v>92</v>
      </c>
      <c r="C12" s="22">
        <v>3480.0</v>
      </c>
      <c r="D12" s="17">
        <v>1.0</v>
      </c>
      <c r="E12" s="22">
        <f t="shared" si="1"/>
        <v>3480</v>
      </c>
      <c r="F12" s="15" t="s">
        <v>24</v>
      </c>
      <c r="H12" s="31"/>
      <c r="I12" s="25" t="b">
        <v>0</v>
      </c>
      <c r="J12" s="26" t="str">
        <f t="shared" si="2"/>
        <v>03 - marzo</v>
      </c>
      <c r="K12" s="26" t="str">
        <f t="shared" si="3"/>
        <v>2026</v>
      </c>
    </row>
    <row r="13" ht="22.5" hidden="1" customHeight="1">
      <c r="A13" s="13">
        <v>46097.0</v>
      </c>
      <c r="B13" s="15" t="s">
        <v>101</v>
      </c>
      <c r="C13" s="16">
        <v>510000.0</v>
      </c>
      <c r="D13" s="17">
        <v>1.0</v>
      </c>
      <c r="E13" s="22">
        <f t="shared" si="1"/>
        <v>510000</v>
      </c>
      <c r="F13" s="15" t="s">
        <v>24</v>
      </c>
      <c r="G13" s="23" t="s">
        <v>26</v>
      </c>
      <c r="H13" s="24" t="s">
        <v>109</v>
      </c>
      <c r="I13" s="25" t="b">
        <v>1</v>
      </c>
      <c r="J13" s="26" t="str">
        <f t="shared" si="2"/>
        <v>03 - marzo</v>
      </c>
      <c r="K13" s="26" t="str">
        <f t="shared" si="3"/>
        <v>2026</v>
      </c>
    </row>
    <row r="14" ht="22.5" hidden="1" customHeight="1">
      <c r="A14" s="13">
        <v>46099.0</v>
      </c>
      <c r="B14" s="15" t="s">
        <v>101</v>
      </c>
      <c r="C14" s="16">
        <v>240000.0</v>
      </c>
      <c r="D14" s="17">
        <v>1.0</v>
      </c>
      <c r="E14" s="22">
        <f t="shared" si="1"/>
        <v>240000</v>
      </c>
      <c r="F14" s="15" t="s">
        <v>24</v>
      </c>
      <c r="G14" s="23" t="s">
        <v>26</v>
      </c>
      <c r="H14" s="31"/>
      <c r="I14" s="25" t="b">
        <v>1</v>
      </c>
      <c r="J14" s="26" t="str">
        <f t="shared" si="2"/>
        <v>03 - marzo</v>
      </c>
      <c r="K14" s="26" t="str">
        <f t="shared" si="3"/>
        <v>2026</v>
      </c>
    </row>
    <row r="15" ht="22.5" hidden="1" customHeight="1">
      <c r="A15" s="13">
        <v>46101.0</v>
      </c>
      <c r="B15" s="15" t="s">
        <v>18</v>
      </c>
      <c r="C15" s="16">
        <v>320000.0</v>
      </c>
      <c r="D15" s="17">
        <v>1.0</v>
      </c>
      <c r="E15" s="22">
        <f t="shared" si="1"/>
        <v>320000</v>
      </c>
      <c r="F15" s="15" t="s">
        <v>24</v>
      </c>
      <c r="G15" s="23" t="s">
        <v>26</v>
      </c>
      <c r="H15" s="31"/>
      <c r="I15" s="25" t="b">
        <v>1</v>
      </c>
      <c r="J15" s="26" t="str">
        <f t="shared" si="2"/>
        <v>03 - marzo</v>
      </c>
      <c r="K15" s="26" t="str">
        <f t="shared" si="3"/>
        <v>2026</v>
      </c>
    </row>
    <row r="16" ht="22.5" hidden="1" customHeight="1">
      <c r="A16" s="13">
        <v>46101.0</v>
      </c>
      <c r="B16" s="15" t="s">
        <v>77</v>
      </c>
      <c r="C16" s="16">
        <v>11000.0</v>
      </c>
      <c r="D16" s="17">
        <v>1.0</v>
      </c>
      <c r="E16" s="22">
        <f t="shared" si="1"/>
        <v>11000</v>
      </c>
      <c r="F16" s="15" t="s">
        <v>24</v>
      </c>
      <c r="G16" s="23" t="s">
        <v>26</v>
      </c>
      <c r="H16" s="31"/>
      <c r="I16" s="25" t="b">
        <v>1</v>
      </c>
      <c r="J16" s="26" t="str">
        <f t="shared" si="2"/>
        <v>03 - marzo</v>
      </c>
      <c r="K16" s="26" t="str">
        <f t="shared" si="3"/>
        <v>2026</v>
      </c>
    </row>
    <row r="17" ht="22.5" hidden="1" customHeight="1">
      <c r="A17" s="13">
        <v>46102.0</v>
      </c>
      <c r="B17" s="15" t="s">
        <v>44</v>
      </c>
      <c r="C17" s="16">
        <v>69000.0</v>
      </c>
      <c r="D17" s="17">
        <v>1.0</v>
      </c>
      <c r="E17" s="22">
        <f t="shared" si="1"/>
        <v>69000</v>
      </c>
      <c r="F17" s="15" t="s">
        <v>24</v>
      </c>
      <c r="G17" s="23" t="s">
        <v>26</v>
      </c>
      <c r="H17" s="31"/>
      <c r="I17" s="25" t="b">
        <v>1</v>
      </c>
      <c r="J17" s="26" t="str">
        <f t="shared" si="2"/>
        <v>03 - marzo</v>
      </c>
      <c r="K17" s="26" t="str">
        <f t="shared" si="3"/>
        <v>2026</v>
      </c>
    </row>
    <row r="18" ht="22.5" hidden="1" customHeight="1">
      <c r="A18" s="13">
        <v>46102.0</v>
      </c>
      <c r="B18" s="15" t="s">
        <v>48</v>
      </c>
      <c r="C18" s="16">
        <v>69000.0</v>
      </c>
      <c r="D18" s="17">
        <v>1.0</v>
      </c>
      <c r="E18" s="22">
        <f t="shared" si="1"/>
        <v>69000</v>
      </c>
      <c r="F18" s="15" t="s">
        <v>24</v>
      </c>
      <c r="G18" s="23" t="s">
        <v>26</v>
      </c>
      <c r="H18" s="31"/>
      <c r="I18" s="25" t="b">
        <v>1</v>
      </c>
      <c r="J18" s="26" t="str">
        <f t="shared" si="2"/>
        <v>03 - marzo</v>
      </c>
      <c r="K18" s="26" t="str">
        <f t="shared" si="3"/>
        <v>2026</v>
      </c>
    </row>
    <row r="19" ht="22.5" hidden="1" customHeight="1">
      <c r="A19" s="13">
        <v>46102.0</v>
      </c>
      <c r="B19" s="47" t="s">
        <v>60</v>
      </c>
      <c r="C19" s="22">
        <v>115000.0</v>
      </c>
      <c r="D19" s="17">
        <v>1.0</v>
      </c>
      <c r="E19" s="22">
        <f t="shared" si="1"/>
        <v>115000</v>
      </c>
      <c r="F19" s="15" t="s">
        <v>24</v>
      </c>
      <c r="G19" s="58"/>
      <c r="H19" s="31"/>
      <c r="I19" s="25" t="b">
        <v>0</v>
      </c>
      <c r="J19" s="26" t="str">
        <f t="shared" si="2"/>
        <v>03 - marzo</v>
      </c>
      <c r="K19" s="26" t="str">
        <f t="shared" si="3"/>
        <v>2026</v>
      </c>
    </row>
    <row r="20" ht="22.5" hidden="1" customHeight="1">
      <c r="A20" s="13">
        <v>46102.0</v>
      </c>
      <c r="B20" s="47" t="s">
        <v>65</v>
      </c>
      <c r="C20" s="16">
        <v>35000.0</v>
      </c>
      <c r="D20" s="17">
        <v>1.0</v>
      </c>
      <c r="E20" s="22">
        <f t="shared" si="1"/>
        <v>35000</v>
      </c>
      <c r="F20" s="15" t="s">
        <v>24</v>
      </c>
      <c r="G20" s="23" t="s">
        <v>26</v>
      </c>
      <c r="H20" s="31"/>
      <c r="I20" s="25" t="b">
        <v>1</v>
      </c>
      <c r="J20" s="26" t="str">
        <f t="shared" si="2"/>
        <v>03 - marzo</v>
      </c>
      <c r="K20" s="26" t="str">
        <f t="shared" si="3"/>
        <v>2026</v>
      </c>
    </row>
    <row r="21" ht="22.5" hidden="1" customHeight="1">
      <c r="A21" s="13">
        <v>46102.0</v>
      </c>
      <c r="B21" s="47" t="s">
        <v>91</v>
      </c>
      <c r="C21" s="16">
        <v>84040.0</v>
      </c>
      <c r="D21" s="17">
        <v>1.0</v>
      </c>
      <c r="E21" s="22">
        <f t="shared" si="1"/>
        <v>84040</v>
      </c>
      <c r="F21" s="15" t="s">
        <v>24</v>
      </c>
      <c r="G21" s="23" t="s">
        <v>26</v>
      </c>
      <c r="H21" s="31"/>
      <c r="I21" s="25" t="b">
        <v>1</v>
      </c>
      <c r="J21" s="26" t="str">
        <f t="shared" si="2"/>
        <v>03 - marzo</v>
      </c>
      <c r="K21" s="26" t="str">
        <f t="shared" si="3"/>
        <v>2026</v>
      </c>
    </row>
    <row r="22" ht="22.5" hidden="1" customHeight="1">
      <c r="A22" s="13">
        <v>46102.0</v>
      </c>
      <c r="B22" s="47" t="s">
        <v>126</v>
      </c>
      <c r="C22" s="22">
        <v>5000.0</v>
      </c>
      <c r="D22" s="17">
        <v>1.0</v>
      </c>
      <c r="E22" s="22">
        <f t="shared" si="1"/>
        <v>5000</v>
      </c>
      <c r="F22" s="15" t="s">
        <v>24</v>
      </c>
      <c r="G22" s="58"/>
      <c r="H22" s="31"/>
      <c r="I22" s="25" t="b">
        <v>0</v>
      </c>
      <c r="J22" s="26" t="str">
        <f t="shared" si="2"/>
        <v>03 - marzo</v>
      </c>
      <c r="K22" s="26" t="str">
        <f t="shared" si="3"/>
        <v>2026</v>
      </c>
    </row>
    <row r="23" ht="22.5" hidden="1" customHeight="1">
      <c r="A23" s="13">
        <v>46106.0</v>
      </c>
      <c r="B23" s="15" t="s">
        <v>101</v>
      </c>
      <c r="C23" s="22">
        <v>240000.0</v>
      </c>
      <c r="D23" s="17">
        <v>1.0</v>
      </c>
      <c r="E23" s="22">
        <f t="shared" si="1"/>
        <v>240000</v>
      </c>
      <c r="F23" s="15" t="s">
        <v>24</v>
      </c>
      <c r="G23" s="58"/>
      <c r="H23" s="31"/>
      <c r="I23" s="25" t="b">
        <v>0</v>
      </c>
      <c r="J23" s="26" t="str">
        <f t="shared" si="2"/>
        <v>03 - marzo</v>
      </c>
      <c r="K23" s="26" t="str">
        <f t="shared" si="3"/>
        <v>2026</v>
      </c>
    </row>
    <row r="24" ht="22.5" hidden="1" customHeight="1">
      <c r="A24" s="13">
        <v>46108.0</v>
      </c>
      <c r="B24" s="15" t="s">
        <v>193</v>
      </c>
      <c r="C24" s="16">
        <v>96913.33</v>
      </c>
      <c r="D24" s="17">
        <v>1.0</v>
      </c>
      <c r="E24" s="22">
        <f t="shared" si="1"/>
        <v>96913.33</v>
      </c>
      <c r="F24" s="15" t="s">
        <v>24</v>
      </c>
      <c r="G24" s="23" t="s">
        <v>26</v>
      </c>
      <c r="H24" s="31"/>
      <c r="I24" s="25" t="b">
        <v>1</v>
      </c>
      <c r="J24" s="26" t="str">
        <f t="shared" si="2"/>
        <v>03 - marzo</v>
      </c>
      <c r="K24" s="26" t="str">
        <f t="shared" si="3"/>
        <v>2026</v>
      </c>
    </row>
    <row r="25" ht="22.5" hidden="1" customHeight="1">
      <c r="A25" s="13">
        <v>46112.0</v>
      </c>
      <c r="B25" s="15" t="s">
        <v>44</v>
      </c>
      <c r="C25" s="22">
        <v>45000.0</v>
      </c>
      <c r="D25" s="17">
        <v>1.0</v>
      </c>
      <c r="E25" s="22">
        <f t="shared" si="1"/>
        <v>45000</v>
      </c>
      <c r="F25" s="15" t="s">
        <v>24</v>
      </c>
      <c r="G25" s="58"/>
      <c r="H25" s="31"/>
      <c r="I25" s="25" t="b">
        <v>0</v>
      </c>
      <c r="J25" s="26" t="str">
        <f t="shared" si="2"/>
        <v>03 - marzo</v>
      </c>
      <c r="K25" s="26" t="str">
        <f t="shared" si="3"/>
        <v>2026</v>
      </c>
    </row>
    <row r="26" ht="22.5" hidden="1" customHeight="1">
      <c r="A26" s="13">
        <v>46112.0</v>
      </c>
      <c r="B26" s="15" t="s">
        <v>60</v>
      </c>
      <c r="C26" s="16">
        <v>28000.0</v>
      </c>
      <c r="D26" s="17">
        <v>1.0</v>
      </c>
      <c r="E26" s="22">
        <f t="shared" si="1"/>
        <v>28000</v>
      </c>
      <c r="F26" s="15" t="s">
        <v>24</v>
      </c>
      <c r="G26" s="23" t="s">
        <v>26</v>
      </c>
      <c r="H26" s="31"/>
      <c r="I26" s="25" t="b">
        <v>1</v>
      </c>
      <c r="J26" s="26" t="str">
        <f t="shared" si="2"/>
        <v>03 - marzo</v>
      </c>
      <c r="K26" s="26" t="str">
        <f t="shared" si="3"/>
        <v>2026</v>
      </c>
    </row>
    <row r="27" ht="22.5" hidden="1" customHeight="1">
      <c r="A27" s="13">
        <v>46121.0</v>
      </c>
      <c r="B27" s="15" t="s">
        <v>101</v>
      </c>
      <c r="C27" s="16">
        <v>240000.0</v>
      </c>
      <c r="D27" s="17">
        <v>1.0</v>
      </c>
      <c r="E27" s="22">
        <f t="shared" si="1"/>
        <v>240000</v>
      </c>
      <c r="F27" s="15" t="s">
        <v>24</v>
      </c>
      <c r="G27" s="23" t="s">
        <v>26</v>
      </c>
      <c r="H27" s="31"/>
      <c r="I27" s="25" t="b">
        <v>1</v>
      </c>
      <c r="J27" s="26" t="str">
        <f t="shared" si="2"/>
        <v>04 - abril</v>
      </c>
      <c r="K27" s="26" t="str">
        <f t="shared" si="3"/>
        <v>2026</v>
      </c>
    </row>
    <row r="28" ht="22.5" hidden="1" customHeight="1">
      <c r="A28" s="13">
        <v>46123.0</v>
      </c>
      <c r="B28" s="15" t="s">
        <v>44</v>
      </c>
      <c r="C28" s="16">
        <v>82000.0</v>
      </c>
      <c r="D28" s="17">
        <v>1.0</v>
      </c>
      <c r="E28" s="22">
        <f t="shared" si="1"/>
        <v>82000</v>
      </c>
      <c r="F28" s="15" t="s">
        <v>24</v>
      </c>
      <c r="G28" s="23" t="s">
        <v>26</v>
      </c>
      <c r="H28" s="31"/>
      <c r="I28" s="25" t="b">
        <v>1</v>
      </c>
      <c r="J28" s="26" t="str">
        <f t="shared" si="2"/>
        <v>04 - abril</v>
      </c>
      <c r="K28" s="26" t="str">
        <f t="shared" si="3"/>
        <v>2026</v>
      </c>
    </row>
    <row r="29" ht="22.5" hidden="1" customHeight="1">
      <c r="A29" s="13">
        <v>46123.0</v>
      </c>
      <c r="B29" s="15" t="s">
        <v>48</v>
      </c>
      <c r="C29" s="16">
        <v>82000.0</v>
      </c>
      <c r="D29" s="17">
        <v>1.0</v>
      </c>
      <c r="E29" s="22">
        <f t="shared" si="1"/>
        <v>82000</v>
      </c>
      <c r="F29" s="15" t="s">
        <v>24</v>
      </c>
      <c r="G29" s="58"/>
      <c r="H29" s="31"/>
      <c r="I29" s="25" t="b">
        <v>0</v>
      </c>
      <c r="J29" s="26" t="str">
        <f t="shared" si="2"/>
        <v>04 - abril</v>
      </c>
      <c r="K29" s="26" t="str">
        <f t="shared" si="3"/>
        <v>2026</v>
      </c>
    </row>
    <row r="30" ht="22.5" hidden="1" customHeight="1">
      <c r="A30" s="13">
        <v>46123.0</v>
      </c>
      <c r="B30" s="47" t="s">
        <v>60</v>
      </c>
      <c r="C30" s="16">
        <v>110000.0</v>
      </c>
      <c r="D30" s="17">
        <v>1.0</v>
      </c>
      <c r="E30" s="22">
        <f t="shared" si="1"/>
        <v>110000</v>
      </c>
      <c r="F30" s="15" t="s">
        <v>24</v>
      </c>
      <c r="G30" s="23" t="s">
        <v>26</v>
      </c>
      <c r="H30" s="31"/>
      <c r="I30" s="25" t="b">
        <v>1</v>
      </c>
      <c r="J30" s="26" t="str">
        <f t="shared" si="2"/>
        <v>04 - abril</v>
      </c>
      <c r="K30" s="26" t="str">
        <f t="shared" si="3"/>
        <v>2026</v>
      </c>
    </row>
    <row r="31" ht="22.5" hidden="1" customHeight="1">
      <c r="A31" s="13">
        <v>46123.0</v>
      </c>
      <c r="B31" s="47" t="s">
        <v>77</v>
      </c>
      <c r="C31" s="16">
        <v>26800.0</v>
      </c>
      <c r="D31" s="17">
        <v>1.0</v>
      </c>
      <c r="E31" s="22">
        <f t="shared" si="1"/>
        <v>26800</v>
      </c>
      <c r="F31" s="15" t="s">
        <v>24</v>
      </c>
      <c r="G31" s="23" t="s">
        <v>26</v>
      </c>
      <c r="H31" s="31"/>
      <c r="I31" s="25" t="b">
        <v>1</v>
      </c>
      <c r="J31" s="26" t="str">
        <f t="shared" si="2"/>
        <v>04 - abril</v>
      </c>
      <c r="K31" s="26" t="str">
        <f t="shared" si="3"/>
        <v>2026</v>
      </c>
    </row>
    <row r="32" ht="22.5" hidden="1" customHeight="1">
      <c r="A32" s="13">
        <v>46123.0</v>
      </c>
      <c r="B32" s="47" t="s">
        <v>91</v>
      </c>
      <c r="C32" s="16">
        <v>97405.0</v>
      </c>
      <c r="D32" s="17">
        <v>1.0</v>
      </c>
      <c r="E32" s="22">
        <f t="shared" si="1"/>
        <v>97405</v>
      </c>
      <c r="F32" s="15" t="s">
        <v>24</v>
      </c>
      <c r="G32" s="23" t="s">
        <v>26</v>
      </c>
      <c r="H32" s="31"/>
      <c r="I32" s="25" t="b">
        <v>1</v>
      </c>
      <c r="J32" s="26" t="str">
        <f t="shared" si="2"/>
        <v>04 - abril</v>
      </c>
      <c r="K32" s="26" t="str">
        <f t="shared" si="3"/>
        <v>2026</v>
      </c>
    </row>
    <row r="33" ht="22.5" hidden="1" customHeight="1">
      <c r="A33" s="13">
        <v>46123.0</v>
      </c>
      <c r="B33" s="47" t="s">
        <v>92</v>
      </c>
      <c r="C33" s="22">
        <v>6700.0</v>
      </c>
      <c r="D33" s="17">
        <v>1.0</v>
      </c>
      <c r="E33" s="22">
        <f t="shared" si="1"/>
        <v>6700</v>
      </c>
      <c r="F33" s="15" t="s">
        <v>24</v>
      </c>
      <c r="G33" s="58"/>
      <c r="H33" s="31"/>
      <c r="I33" s="25" t="b">
        <v>0</v>
      </c>
      <c r="J33" s="26" t="str">
        <f t="shared" si="2"/>
        <v>04 - abril</v>
      </c>
      <c r="K33" s="26" t="str">
        <f t="shared" si="3"/>
        <v>2026</v>
      </c>
    </row>
    <row r="34" ht="22.5" hidden="1" customHeight="1">
      <c r="A34" s="13">
        <v>46123.0</v>
      </c>
      <c r="B34" s="47" t="s">
        <v>126</v>
      </c>
      <c r="C34" s="22">
        <v>6000.0</v>
      </c>
      <c r="D34" s="17">
        <v>1.0</v>
      </c>
      <c r="E34" s="22">
        <f t="shared" si="1"/>
        <v>6000</v>
      </c>
      <c r="F34" s="15" t="s">
        <v>24</v>
      </c>
      <c r="G34" s="58"/>
      <c r="H34" s="31"/>
      <c r="I34" s="25" t="b">
        <v>0</v>
      </c>
      <c r="J34" s="26" t="str">
        <f t="shared" si="2"/>
        <v>04 - abril</v>
      </c>
      <c r="K34" s="26" t="str">
        <f t="shared" si="3"/>
        <v>2026</v>
      </c>
    </row>
    <row r="35" ht="22.5" hidden="1" customHeight="1">
      <c r="A35" s="13">
        <v>46134.0</v>
      </c>
      <c r="B35" s="15" t="s">
        <v>101</v>
      </c>
      <c r="C35" s="22">
        <v>270000.0</v>
      </c>
      <c r="D35" s="17">
        <v>1.0</v>
      </c>
      <c r="E35" s="22">
        <f t="shared" si="1"/>
        <v>270000</v>
      </c>
      <c r="F35" s="15" t="s">
        <v>24</v>
      </c>
      <c r="G35" s="58"/>
      <c r="H35" s="31"/>
      <c r="I35" s="25" t="b">
        <v>0</v>
      </c>
      <c r="J35" s="26" t="str">
        <f t="shared" si="2"/>
        <v>04 - abril</v>
      </c>
      <c r="K35" s="26" t="str">
        <f t="shared" si="3"/>
        <v>2026</v>
      </c>
    </row>
    <row r="36" ht="22.5" hidden="1" customHeight="1">
      <c r="A36" s="13">
        <v>46137.0</v>
      </c>
      <c r="B36" s="15" t="s">
        <v>18</v>
      </c>
      <c r="C36" s="16">
        <v>320000.0</v>
      </c>
      <c r="D36" s="17">
        <v>1.0</v>
      </c>
      <c r="E36" s="22">
        <f t="shared" si="1"/>
        <v>320000</v>
      </c>
      <c r="F36" s="15" t="s">
        <v>24</v>
      </c>
      <c r="G36" s="23" t="s">
        <v>26</v>
      </c>
      <c r="H36" s="31"/>
      <c r="I36" s="25" t="b">
        <v>1</v>
      </c>
      <c r="J36" s="26" t="str">
        <f t="shared" si="2"/>
        <v>04 - abril</v>
      </c>
      <c r="K36" s="26" t="str">
        <f t="shared" si="3"/>
        <v>2026</v>
      </c>
    </row>
    <row r="37" ht="22.5" hidden="1" customHeight="1">
      <c r="A37" s="13">
        <v>46137.0</v>
      </c>
      <c r="B37" s="15" t="s">
        <v>44</v>
      </c>
      <c r="C37" s="16">
        <v>82000.0</v>
      </c>
      <c r="D37" s="17">
        <v>1.0</v>
      </c>
      <c r="E37" s="22">
        <f t="shared" si="1"/>
        <v>82000</v>
      </c>
      <c r="F37" s="15" t="s">
        <v>24</v>
      </c>
      <c r="G37" s="23" t="s">
        <v>26</v>
      </c>
      <c r="H37" s="31"/>
      <c r="I37" s="25" t="b">
        <v>1</v>
      </c>
      <c r="J37" s="26" t="str">
        <f t="shared" si="2"/>
        <v>04 - abril</v>
      </c>
      <c r="K37" s="26" t="str">
        <f t="shared" si="3"/>
        <v>2026</v>
      </c>
    </row>
    <row r="38" ht="22.5" hidden="1" customHeight="1">
      <c r="A38" s="13">
        <v>46137.0</v>
      </c>
      <c r="B38" s="15" t="s">
        <v>48</v>
      </c>
      <c r="C38" s="16">
        <v>82000.0</v>
      </c>
      <c r="D38" s="17">
        <v>1.0</v>
      </c>
      <c r="E38" s="22">
        <f t="shared" si="1"/>
        <v>82000</v>
      </c>
      <c r="F38" s="15" t="s">
        <v>24</v>
      </c>
      <c r="G38" s="23" t="s">
        <v>26</v>
      </c>
      <c r="H38" s="31"/>
      <c r="I38" s="25" t="b">
        <v>1</v>
      </c>
      <c r="J38" s="26" t="str">
        <f t="shared" si="2"/>
        <v>04 - abril</v>
      </c>
      <c r="K38" s="26" t="str">
        <f t="shared" si="3"/>
        <v>2026</v>
      </c>
    </row>
    <row r="39" ht="22.5" hidden="1" customHeight="1">
      <c r="A39" s="13">
        <v>46137.0</v>
      </c>
      <c r="B39" s="47" t="s">
        <v>60</v>
      </c>
      <c r="C39" s="16">
        <v>110000.0</v>
      </c>
      <c r="D39" s="17">
        <v>1.0</v>
      </c>
      <c r="E39" s="22">
        <f t="shared" si="1"/>
        <v>110000</v>
      </c>
      <c r="F39" s="15" t="s">
        <v>24</v>
      </c>
      <c r="G39" s="23" t="s">
        <v>26</v>
      </c>
      <c r="H39" s="31"/>
      <c r="I39" s="25" t="b">
        <v>1</v>
      </c>
      <c r="J39" s="26" t="str">
        <f t="shared" si="2"/>
        <v>04 - abril</v>
      </c>
      <c r="K39" s="26" t="str">
        <f t="shared" si="3"/>
        <v>2026</v>
      </c>
    </row>
    <row r="40" ht="22.5" hidden="1" customHeight="1">
      <c r="A40" s="13">
        <v>46137.0</v>
      </c>
      <c r="B40" s="47" t="s">
        <v>65</v>
      </c>
      <c r="C40" s="16">
        <v>28000.0</v>
      </c>
      <c r="D40" s="17">
        <v>1.0</v>
      </c>
      <c r="E40" s="22">
        <f t="shared" si="1"/>
        <v>28000</v>
      </c>
      <c r="F40" s="15" t="s">
        <v>24</v>
      </c>
      <c r="G40" s="23" t="s">
        <v>26</v>
      </c>
      <c r="H40" s="31"/>
      <c r="I40" s="25" t="b">
        <v>1</v>
      </c>
      <c r="J40" s="26" t="str">
        <f t="shared" si="2"/>
        <v>04 - abril</v>
      </c>
      <c r="K40" s="26" t="str">
        <f t="shared" si="3"/>
        <v>2026</v>
      </c>
    </row>
    <row r="41" ht="22.5" hidden="1" customHeight="1">
      <c r="A41" s="13">
        <v>46137.0</v>
      </c>
      <c r="B41" s="47" t="s">
        <v>214</v>
      </c>
      <c r="C41" s="16">
        <v>20000.0</v>
      </c>
      <c r="D41" s="17">
        <v>1.0</v>
      </c>
      <c r="E41" s="22">
        <f t="shared" si="1"/>
        <v>20000</v>
      </c>
      <c r="F41" s="15" t="s">
        <v>24</v>
      </c>
      <c r="G41" s="23" t="s">
        <v>26</v>
      </c>
      <c r="H41" s="31"/>
      <c r="I41" s="25" t="b">
        <v>1</v>
      </c>
      <c r="J41" s="26" t="str">
        <f t="shared" si="2"/>
        <v>04 - abril</v>
      </c>
      <c r="K41" s="26" t="str">
        <f t="shared" si="3"/>
        <v>2026</v>
      </c>
    </row>
    <row r="42" ht="22.5" hidden="1" customHeight="1">
      <c r="A42" s="13">
        <v>46137.0</v>
      </c>
      <c r="B42" s="47" t="s">
        <v>77</v>
      </c>
      <c r="C42" s="16">
        <v>33500.0</v>
      </c>
      <c r="D42" s="17">
        <v>1.0</v>
      </c>
      <c r="E42" s="22">
        <f t="shared" si="1"/>
        <v>33500</v>
      </c>
      <c r="F42" s="15" t="s">
        <v>24</v>
      </c>
      <c r="G42" s="23" t="s">
        <v>26</v>
      </c>
      <c r="H42" s="31"/>
      <c r="I42" s="25" t="b">
        <v>1</v>
      </c>
      <c r="J42" s="26" t="str">
        <f t="shared" si="2"/>
        <v>04 - abril</v>
      </c>
      <c r="K42" s="26" t="str">
        <f t="shared" si="3"/>
        <v>2026</v>
      </c>
    </row>
    <row r="43" ht="22.5" hidden="1" customHeight="1">
      <c r="A43" s="13">
        <v>46137.0</v>
      </c>
      <c r="B43" s="47" t="s">
        <v>91</v>
      </c>
      <c r="C43" s="22">
        <v>77000.0</v>
      </c>
      <c r="D43" s="17">
        <v>1.0</v>
      </c>
      <c r="E43" s="22">
        <f t="shared" si="1"/>
        <v>77000</v>
      </c>
      <c r="F43" s="15" t="s">
        <v>24</v>
      </c>
      <c r="G43" s="58"/>
      <c r="H43" s="31"/>
      <c r="I43" s="25" t="b">
        <v>0</v>
      </c>
      <c r="J43" s="26" t="str">
        <f t="shared" si="2"/>
        <v>04 - abril</v>
      </c>
      <c r="K43" s="26" t="str">
        <f t="shared" si="3"/>
        <v>2026</v>
      </c>
    </row>
    <row r="44" ht="22.5" hidden="1" customHeight="1">
      <c r="A44" s="13">
        <v>46137.0</v>
      </c>
      <c r="B44" s="47" t="s">
        <v>126</v>
      </c>
      <c r="C44" s="22">
        <v>10000.0</v>
      </c>
      <c r="D44" s="17">
        <v>1.0</v>
      </c>
      <c r="E44" s="22">
        <f t="shared" si="1"/>
        <v>10000</v>
      </c>
      <c r="F44" s="15" t="s">
        <v>24</v>
      </c>
      <c r="G44" s="58"/>
      <c r="H44" s="31"/>
      <c r="I44" s="25" t="b">
        <v>0</v>
      </c>
      <c r="J44" s="26" t="str">
        <f t="shared" si="2"/>
        <v>04 - abril</v>
      </c>
      <c r="K44" s="26" t="str">
        <f t="shared" si="3"/>
        <v>2026</v>
      </c>
    </row>
    <row r="45" ht="22.5" hidden="1" customHeight="1">
      <c r="A45" s="13">
        <v>46137.0</v>
      </c>
      <c r="B45" s="47" t="s">
        <v>34</v>
      </c>
      <c r="C45" s="22">
        <v>9500.0</v>
      </c>
      <c r="D45" s="17">
        <v>1.0</v>
      </c>
      <c r="E45" s="22">
        <f t="shared" si="1"/>
        <v>9500</v>
      </c>
      <c r="F45" s="15" t="s">
        <v>24</v>
      </c>
      <c r="G45" s="58"/>
      <c r="H45" s="31"/>
      <c r="I45" s="25" t="b">
        <v>0</v>
      </c>
      <c r="J45" s="26" t="str">
        <f t="shared" si="2"/>
        <v>04 - abril</v>
      </c>
      <c r="K45" s="26" t="str">
        <f t="shared" si="3"/>
        <v>2026</v>
      </c>
    </row>
    <row r="46" ht="22.5" hidden="1" customHeight="1">
      <c r="A46" s="13">
        <v>46137.0</v>
      </c>
      <c r="B46" s="47" t="s">
        <v>193</v>
      </c>
      <c r="C46" s="16">
        <v>96913.33</v>
      </c>
      <c r="D46" s="17">
        <v>1.0</v>
      </c>
      <c r="E46" s="22">
        <f t="shared" si="1"/>
        <v>96913.33</v>
      </c>
      <c r="F46" s="15" t="s">
        <v>24</v>
      </c>
      <c r="G46" s="23" t="s">
        <v>26</v>
      </c>
      <c r="H46" s="31"/>
      <c r="I46" s="25" t="b">
        <v>1</v>
      </c>
      <c r="J46" s="26" t="str">
        <f t="shared" si="2"/>
        <v>04 - abril</v>
      </c>
      <c r="K46" s="26" t="str">
        <f t="shared" si="3"/>
        <v>2026</v>
      </c>
    </row>
    <row r="47" ht="22.5" hidden="1" customHeight="1">
      <c r="A47" s="13">
        <v>46141.0</v>
      </c>
      <c r="B47" s="15" t="s">
        <v>101</v>
      </c>
      <c r="C47" s="16">
        <v>270000.0</v>
      </c>
      <c r="D47" s="17">
        <v>1.0</v>
      </c>
      <c r="E47" s="22">
        <f t="shared" si="1"/>
        <v>270000</v>
      </c>
      <c r="F47" s="15" t="s">
        <v>24</v>
      </c>
      <c r="G47" s="23" t="s">
        <v>26</v>
      </c>
      <c r="H47" s="31"/>
      <c r="I47" s="25" t="b">
        <v>1</v>
      </c>
      <c r="J47" s="26" t="str">
        <f t="shared" si="2"/>
        <v>04 - abril</v>
      </c>
      <c r="K47" s="26" t="str">
        <f t="shared" si="3"/>
        <v>2026</v>
      </c>
    </row>
    <row r="48" ht="22.5" hidden="1" customHeight="1">
      <c r="A48" s="13">
        <v>46148.0</v>
      </c>
      <c r="B48" s="15" t="s">
        <v>101</v>
      </c>
      <c r="C48" s="16">
        <v>270000.0</v>
      </c>
      <c r="D48" s="17">
        <v>1.0</v>
      </c>
      <c r="E48" s="22">
        <f t="shared" si="1"/>
        <v>270000</v>
      </c>
      <c r="F48" s="15" t="s">
        <v>24</v>
      </c>
      <c r="G48" s="23" t="s">
        <v>26</v>
      </c>
      <c r="H48" s="31"/>
      <c r="I48" s="25" t="b">
        <v>1</v>
      </c>
      <c r="J48" s="26" t="str">
        <f t="shared" si="2"/>
        <v>05 - mayo</v>
      </c>
      <c r="K48" s="26" t="str">
        <f t="shared" si="3"/>
        <v>2026</v>
      </c>
    </row>
    <row r="49" ht="22.5" hidden="1" customHeight="1">
      <c r="A49" s="13">
        <v>46151.0</v>
      </c>
      <c r="B49" s="116" t="s">
        <v>44</v>
      </c>
      <c r="C49" s="16">
        <v>82000.0</v>
      </c>
      <c r="D49" s="17">
        <v>1.0</v>
      </c>
      <c r="E49" s="22">
        <f t="shared" si="1"/>
        <v>82000</v>
      </c>
      <c r="F49" s="15" t="s">
        <v>24</v>
      </c>
      <c r="G49" s="23" t="s">
        <v>26</v>
      </c>
      <c r="H49" s="31"/>
      <c r="I49" s="25" t="b">
        <v>1</v>
      </c>
      <c r="J49" s="26" t="str">
        <f t="shared" si="2"/>
        <v>05 - mayo</v>
      </c>
      <c r="K49" s="26" t="str">
        <f t="shared" si="3"/>
        <v>2026</v>
      </c>
    </row>
    <row r="50" ht="22.5" hidden="1" customHeight="1">
      <c r="A50" s="13">
        <v>46151.0</v>
      </c>
      <c r="B50" s="116" t="s">
        <v>48</v>
      </c>
      <c r="C50" s="16">
        <v>82000.0</v>
      </c>
      <c r="D50" s="17">
        <v>1.0</v>
      </c>
      <c r="E50" s="22">
        <f t="shared" si="1"/>
        <v>82000</v>
      </c>
      <c r="F50" s="15" t="s">
        <v>24</v>
      </c>
      <c r="G50" s="23" t="s">
        <v>26</v>
      </c>
      <c r="H50" s="31"/>
      <c r="I50" s="25" t="b">
        <v>1</v>
      </c>
      <c r="J50" s="26" t="str">
        <f t="shared" si="2"/>
        <v>05 - mayo</v>
      </c>
      <c r="K50" s="26" t="str">
        <f t="shared" si="3"/>
        <v>2026</v>
      </c>
    </row>
    <row r="51" ht="22.5" hidden="1" customHeight="1">
      <c r="A51" s="13">
        <v>46151.0</v>
      </c>
      <c r="B51" s="116" t="s">
        <v>60</v>
      </c>
      <c r="C51" s="16">
        <v>110000.0</v>
      </c>
      <c r="D51" s="17">
        <v>1.0</v>
      </c>
      <c r="E51" s="22">
        <f t="shared" si="1"/>
        <v>110000</v>
      </c>
      <c r="F51" s="15" t="s">
        <v>24</v>
      </c>
      <c r="G51" s="23" t="s">
        <v>26</v>
      </c>
      <c r="H51" s="31"/>
      <c r="I51" s="25" t="b">
        <v>1</v>
      </c>
      <c r="J51" s="26" t="str">
        <f t="shared" si="2"/>
        <v>05 - mayo</v>
      </c>
      <c r="K51" s="26" t="str">
        <f t="shared" si="3"/>
        <v>2026</v>
      </c>
    </row>
    <row r="52" ht="22.5" hidden="1" customHeight="1">
      <c r="A52" s="13">
        <v>46151.0</v>
      </c>
      <c r="B52" s="116" t="s">
        <v>65</v>
      </c>
      <c r="C52" s="16">
        <v>25000.0</v>
      </c>
      <c r="D52" s="17">
        <v>1.0</v>
      </c>
      <c r="E52" s="22">
        <f t="shared" si="1"/>
        <v>25000</v>
      </c>
      <c r="F52" s="15" t="s">
        <v>24</v>
      </c>
      <c r="G52" s="23" t="s">
        <v>26</v>
      </c>
      <c r="H52" s="31"/>
      <c r="I52" s="25" t="b">
        <v>1</v>
      </c>
      <c r="J52" s="26" t="str">
        <f t="shared" si="2"/>
        <v>05 - mayo</v>
      </c>
      <c r="K52" s="26" t="str">
        <f t="shared" si="3"/>
        <v>2026</v>
      </c>
    </row>
    <row r="53" ht="22.5" hidden="1" customHeight="1">
      <c r="A53" s="13">
        <v>46151.0</v>
      </c>
      <c r="B53" s="116" t="s">
        <v>77</v>
      </c>
      <c r="C53" s="16">
        <v>30000.0</v>
      </c>
      <c r="D53" s="17">
        <v>1.0</v>
      </c>
      <c r="E53" s="22">
        <f t="shared" si="1"/>
        <v>30000</v>
      </c>
      <c r="F53" s="15" t="s">
        <v>24</v>
      </c>
      <c r="G53" s="58"/>
      <c r="H53" s="31"/>
      <c r="I53" s="25" t="b">
        <v>0</v>
      </c>
      <c r="J53" s="26" t="str">
        <f t="shared" si="2"/>
        <v>05 - mayo</v>
      </c>
      <c r="K53" s="26" t="str">
        <f t="shared" si="3"/>
        <v>2026</v>
      </c>
    </row>
    <row r="54" ht="22.5" hidden="1" customHeight="1">
      <c r="A54" s="13">
        <v>46151.0</v>
      </c>
      <c r="B54" s="116" t="s">
        <v>91</v>
      </c>
      <c r="C54" s="16">
        <v>80120.0</v>
      </c>
      <c r="D54" s="17">
        <v>1.0</v>
      </c>
      <c r="E54" s="22">
        <f t="shared" si="1"/>
        <v>80120</v>
      </c>
      <c r="F54" s="15" t="s">
        <v>24</v>
      </c>
      <c r="G54" s="23" t="s">
        <v>26</v>
      </c>
      <c r="H54" s="31"/>
      <c r="I54" s="25" t="b">
        <v>1</v>
      </c>
      <c r="J54" s="26" t="str">
        <f t="shared" si="2"/>
        <v>05 - mayo</v>
      </c>
      <c r="K54" s="26" t="str">
        <f t="shared" si="3"/>
        <v>2026</v>
      </c>
    </row>
    <row r="55" ht="22.5" hidden="1" customHeight="1">
      <c r="A55" s="13">
        <v>46151.0</v>
      </c>
      <c r="B55" s="116" t="s">
        <v>126</v>
      </c>
      <c r="C55" s="16">
        <v>15000.0</v>
      </c>
      <c r="D55" s="17">
        <v>1.0</v>
      </c>
      <c r="E55" s="22">
        <f t="shared" si="1"/>
        <v>15000</v>
      </c>
      <c r="F55" s="15" t="s">
        <v>24</v>
      </c>
      <c r="G55" s="58"/>
      <c r="H55" s="31"/>
      <c r="I55" s="25" t="b">
        <v>0</v>
      </c>
      <c r="J55" s="26" t="str">
        <f t="shared" si="2"/>
        <v>05 - mayo</v>
      </c>
      <c r="K55" s="26" t="str">
        <f t="shared" si="3"/>
        <v>2026</v>
      </c>
    </row>
    <row r="56" ht="22.5" hidden="1" customHeight="1">
      <c r="A56" s="13">
        <v>46155.0</v>
      </c>
      <c r="B56" s="15" t="s">
        <v>101</v>
      </c>
      <c r="C56" s="16">
        <v>270000.0</v>
      </c>
      <c r="D56" s="17">
        <v>1.0</v>
      </c>
      <c r="E56" s="22">
        <f t="shared" si="1"/>
        <v>270000</v>
      </c>
      <c r="F56" s="15" t="s">
        <v>24</v>
      </c>
      <c r="G56" s="23" t="s">
        <v>26</v>
      </c>
      <c r="H56" s="31"/>
      <c r="I56" s="25" t="b">
        <v>1</v>
      </c>
      <c r="J56" s="26" t="str">
        <f t="shared" si="2"/>
        <v>05 - mayo</v>
      </c>
      <c r="K56" s="26" t="str">
        <f t="shared" si="3"/>
        <v>2026</v>
      </c>
    </row>
    <row r="57" ht="22.5" hidden="1" customHeight="1">
      <c r="A57" s="13">
        <v>46162.0</v>
      </c>
      <c r="B57" s="15" t="s">
        <v>101</v>
      </c>
      <c r="C57" s="16">
        <v>270000.0</v>
      </c>
      <c r="D57" s="17">
        <v>1.0</v>
      </c>
      <c r="E57" s="22">
        <f t="shared" si="1"/>
        <v>270000</v>
      </c>
      <c r="F57" s="15" t="s">
        <v>24</v>
      </c>
      <c r="G57" s="23" t="s">
        <v>26</v>
      </c>
      <c r="H57" s="31"/>
      <c r="I57" s="25" t="b">
        <v>1</v>
      </c>
      <c r="J57" s="26" t="str">
        <f t="shared" si="2"/>
        <v>05 - mayo</v>
      </c>
      <c r="K57" s="26" t="str">
        <f t="shared" si="3"/>
        <v>2026</v>
      </c>
    </row>
    <row r="58" ht="22.5" hidden="1" customHeight="1">
      <c r="A58" s="13">
        <v>46164.0</v>
      </c>
      <c r="B58" s="15" t="s">
        <v>18</v>
      </c>
      <c r="C58" s="16">
        <v>320000.0</v>
      </c>
      <c r="D58" s="17">
        <v>1.0</v>
      </c>
      <c r="E58" s="22">
        <f t="shared" si="1"/>
        <v>320000</v>
      </c>
      <c r="F58" s="15" t="s">
        <v>24</v>
      </c>
      <c r="G58" s="23" t="s">
        <v>26</v>
      </c>
      <c r="H58" s="31"/>
      <c r="I58" s="25" t="b">
        <v>1</v>
      </c>
      <c r="J58" s="26" t="str">
        <f t="shared" si="2"/>
        <v>05 - mayo</v>
      </c>
      <c r="K58" s="26" t="str">
        <f t="shared" si="3"/>
        <v>2026</v>
      </c>
    </row>
    <row r="59" ht="22.5" hidden="1" customHeight="1">
      <c r="A59" s="13">
        <v>46164.0</v>
      </c>
      <c r="B59" s="117" t="s">
        <v>34</v>
      </c>
      <c r="C59" s="22">
        <v>14000.0</v>
      </c>
      <c r="D59" s="17">
        <v>1.0</v>
      </c>
      <c r="E59" s="22">
        <f t="shared" si="1"/>
        <v>14000</v>
      </c>
      <c r="F59" s="15" t="s">
        <v>24</v>
      </c>
      <c r="G59" s="58"/>
      <c r="H59" s="31"/>
      <c r="I59" s="25" t="b">
        <v>0</v>
      </c>
      <c r="J59" s="26" t="str">
        <f t="shared" si="2"/>
        <v>05 - mayo</v>
      </c>
      <c r="K59" s="26" t="str">
        <f t="shared" si="3"/>
        <v>2026</v>
      </c>
    </row>
    <row r="60" ht="22.5" hidden="1" customHeight="1">
      <c r="A60" s="13">
        <v>46169.0</v>
      </c>
      <c r="B60" s="15" t="s">
        <v>101</v>
      </c>
      <c r="C60" s="16">
        <v>270000.0</v>
      </c>
      <c r="D60" s="17">
        <v>1.0</v>
      </c>
      <c r="E60" s="22">
        <f t="shared" si="1"/>
        <v>270000</v>
      </c>
      <c r="F60" s="15" t="s">
        <v>24</v>
      </c>
      <c r="G60" s="23" t="s">
        <v>26</v>
      </c>
      <c r="H60" s="31"/>
      <c r="I60" s="25" t="b">
        <v>1</v>
      </c>
      <c r="J60" s="26" t="str">
        <f t="shared" si="2"/>
        <v>05 - mayo</v>
      </c>
      <c r="K60" s="26" t="str">
        <f t="shared" si="3"/>
        <v>2026</v>
      </c>
    </row>
    <row r="61" ht="22.5" hidden="1" customHeight="1">
      <c r="A61" s="13">
        <v>46172.0</v>
      </c>
      <c r="B61" s="116" t="s">
        <v>44</v>
      </c>
      <c r="C61" s="16">
        <v>82000.0</v>
      </c>
      <c r="D61" s="17">
        <v>1.0</v>
      </c>
      <c r="E61" s="22">
        <f t="shared" si="1"/>
        <v>82000</v>
      </c>
      <c r="F61" s="15" t="s">
        <v>24</v>
      </c>
      <c r="G61" s="23" t="s">
        <v>26</v>
      </c>
      <c r="H61" s="31"/>
      <c r="I61" s="25" t="b">
        <v>1</v>
      </c>
      <c r="J61" s="26" t="str">
        <f t="shared" si="2"/>
        <v>05 - mayo</v>
      </c>
      <c r="K61" s="26" t="str">
        <f t="shared" si="3"/>
        <v>2026</v>
      </c>
    </row>
    <row r="62" ht="22.5" hidden="1" customHeight="1">
      <c r="A62" s="13">
        <v>46172.0</v>
      </c>
      <c r="B62" s="116" t="s">
        <v>48</v>
      </c>
      <c r="C62" s="16">
        <v>82000.0</v>
      </c>
      <c r="D62" s="17">
        <v>1.0</v>
      </c>
      <c r="E62" s="22">
        <f t="shared" si="1"/>
        <v>82000</v>
      </c>
      <c r="F62" s="15" t="s">
        <v>24</v>
      </c>
      <c r="G62" s="58"/>
      <c r="H62" s="31"/>
      <c r="I62" s="25" t="b">
        <v>0</v>
      </c>
      <c r="J62" s="26" t="str">
        <f t="shared" si="2"/>
        <v>05 - mayo</v>
      </c>
      <c r="K62" s="26" t="str">
        <f t="shared" si="3"/>
        <v>2026</v>
      </c>
    </row>
    <row r="63" ht="22.5" hidden="1" customHeight="1">
      <c r="A63" s="13">
        <v>46172.0</v>
      </c>
      <c r="B63" s="116" t="s">
        <v>60</v>
      </c>
      <c r="C63" s="16">
        <v>110000.0</v>
      </c>
      <c r="D63" s="17">
        <v>1.0</v>
      </c>
      <c r="E63" s="22">
        <f t="shared" si="1"/>
        <v>110000</v>
      </c>
      <c r="F63" s="15" t="s">
        <v>24</v>
      </c>
      <c r="G63" s="23" t="s">
        <v>26</v>
      </c>
      <c r="H63" s="31"/>
      <c r="I63" s="25" t="b">
        <v>1</v>
      </c>
      <c r="J63" s="26" t="str">
        <f t="shared" si="2"/>
        <v>05 - mayo</v>
      </c>
      <c r="K63" s="26" t="str">
        <f t="shared" si="3"/>
        <v>2026</v>
      </c>
    </row>
    <row r="64" ht="22.5" hidden="1" customHeight="1">
      <c r="A64" s="13">
        <v>46172.0</v>
      </c>
      <c r="B64" s="116" t="s">
        <v>65</v>
      </c>
      <c r="C64" s="16">
        <v>25000.0</v>
      </c>
      <c r="D64" s="17">
        <v>1.0</v>
      </c>
      <c r="E64" s="22">
        <f t="shared" si="1"/>
        <v>25000</v>
      </c>
      <c r="F64" s="15" t="s">
        <v>24</v>
      </c>
      <c r="G64" s="23" t="s">
        <v>26</v>
      </c>
      <c r="H64" s="31"/>
      <c r="I64" s="25" t="b">
        <v>1</v>
      </c>
      <c r="J64" s="26" t="str">
        <f t="shared" si="2"/>
        <v>05 - mayo</v>
      </c>
      <c r="K64" s="26" t="str">
        <f t="shared" si="3"/>
        <v>2026</v>
      </c>
    </row>
    <row r="65" ht="22.5" hidden="1" customHeight="1">
      <c r="A65" s="13">
        <v>46172.0</v>
      </c>
      <c r="B65" s="15" t="s">
        <v>83</v>
      </c>
      <c r="C65" s="16">
        <v>15462.72</v>
      </c>
      <c r="D65" s="17">
        <v>1.0</v>
      </c>
      <c r="E65" s="22">
        <f t="shared" si="1"/>
        <v>15462.72</v>
      </c>
      <c r="F65" s="15" t="s">
        <v>24</v>
      </c>
      <c r="G65" s="58"/>
      <c r="H65" s="31"/>
      <c r="I65" s="25" t="b">
        <v>0</v>
      </c>
      <c r="J65" s="26" t="str">
        <f t="shared" si="2"/>
        <v>05 - mayo</v>
      </c>
      <c r="K65" s="26" t="str">
        <f t="shared" si="3"/>
        <v>2026</v>
      </c>
    </row>
    <row r="66" ht="22.5" hidden="1" customHeight="1">
      <c r="A66" s="13">
        <v>46172.0</v>
      </c>
      <c r="B66" s="116" t="s">
        <v>91</v>
      </c>
      <c r="C66" s="16">
        <v>105320.0</v>
      </c>
      <c r="D66" s="17">
        <v>1.0</v>
      </c>
      <c r="E66" s="22">
        <f t="shared" si="1"/>
        <v>105320</v>
      </c>
      <c r="F66" s="15" t="s">
        <v>24</v>
      </c>
      <c r="G66" s="23" t="s">
        <v>26</v>
      </c>
      <c r="H66" s="31"/>
      <c r="I66" s="25" t="b">
        <v>1</v>
      </c>
      <c r="J66" s="26" t="str">
        <f t="shared" si="2"/>
        <v>05 - mayo</v>
      </c>
      <c r="K66" s="26" t="str">
        <f t="shared" si="3"/>
        <v>2026</v>
      </c>
    </row>
    <row r="67" ht="22.5" hidden="1" customHeight="1">
      <c r="A67" s="13">
        <v>46172.0</v>
      </c>
      <c r="B67" s="116" t="s">
        <v>126</v>
      </c>
      <c r="C67" s="16">
        <v>10000.0</v>
      </c>
      <c r="D67" s="17">
        <v>1.0</v>
      </c>
      <c r="E67" s="22">
        <f t="shared" si="1"/>
        <v>10000</v>
      </c>
      <c r="F67" s="15" t="s">
        <v>24</v>
      </c>
      <c r="G67" s="58"/>
      <c r="H67" s="31"/>
      <c r="I67" s="25" t="b">
        <v>0</v>
      </c>
      <c r="J67" s="26" t="str">
        <f t="shared" si="2"/>
        <v>05 - mayo</v>
      </c>
      <c r="K67" s="26" t="str">
        <f t="shared" si="3"/>
        <v>2026</v>
      </c>
    </row>
    <row r="68" ht="22.5" hidden="1" customHeight="1">
      <c r="A68" s="13">
        <v>46179.0</v>
      </c>
      <c r="B68" s="116" t="s">
        <v>44</v>
      </c>
      <c r="C68" s="16">
        <v>82000.0</v>
      </c>
      <c r="D68" s="17">
        <v>1.0</v>
      </c>
      <c r="E68" s="22">
        <f t="shared" si="1"/>
        <v>82000</v>
      </c>
      <c r="F68" s="15" t="s">
        <v>24</v>
      </c>
      <c r="G68" s="23" t="s">
        <v>26</v>
      </c>
      <c r="H68" s="31"/>
      <c r="I68" s="25" t="b">
        <v>1</v>
      </c>
      <c r="J68" s="26" t="str">
        <f t="shared" si="2"/>
        <v>06 - junio</v>
      </c>
      <c r="K68" s="26" t="str">
        <f t="shared" si="3"/>
        <v>2026</v>
      </c>
    </row>
    <row r="69" ht="22.5" hidden="1" customHeight="1">
      <c r="A69" s="13">
        <v>46179.0</v>
      </c>
      <c r="B69" s="116" t="s">
        <v>48</v>
      </c>
      <c r="C69" s="16">
        <v>82000.0</v>
      </c>
      <c r="D69" s="17">
        <v>1.0</v>
      </c>
      <c r="E69" s="22">
        <f t="shared" si="1"/>
        <v>82000</v>
      </c>
      <c r="F69" s="15" t="s">
        <v>24</v>
      </c>
      <c r="G69" s="23" t="s">
        <v>26</v>
      </c>
      <c r="H69" s="31"/>
      <c r="I69" s="25" t="b">
        <v>1</v>
      </c>
      <c r="J69" s="26" t="str">
        <f t="shared" si="2"/>
        <v>06 - junio</v>
      </c>
      <c r="K69" s="26" t="str">
        <f t="shared" si="3"/>
        <v>2026</v>
      </c>
    </row>
    <row r="70" ht="22.5" hidden="1" customHeight="1">
      <c r="A70" s="13">
        <v>46179.0</v>
      </c>
      <c r="B70" s="116" t="s">
        <v>60</v>
      </c>
      <c r="C70" s="16">
        <v>110000.0</v>
      </c>
      <c r="D70" s="17">
        <v>1.0</v>
      </c>
      <c r="E70" s="22">
        <f t="shared" si="1"/>
        <v>110000</v>
      </c>
      <c r="F70" s="15" t="s">
        <v>24</v>
      </c>
      <c r="G70" s="23" t="s">
        <v>26</v>
      </c>
      <c r="H70" s="31"/>
      <c r="I70" s="25" t="b">
        <v>1</v>
      </c>
      <c r="J70" s="26" t="str">
        <f t="shared" si="2"/>
        <v>06 - junio</v>
      </c>
      <c r="K70" s="26" t="str">
        <f t="shared" si="3"/>
        <v>2026</v>
      </c>
    </row>
    <row r="71" ht="22.5" hidden="1" customHeight="1">
      <c r="A71" s="13">
        <v>46179.0</v>
      </c>
      <c r="B71" s="116" t="s">
        <v>77</v>
      </c>
      <c r="C71" s="16">
        <v>26800.0</v>
      </c>
      <c r="D71" s="17">
        <v>1.0</v>
      </c>
      <c r="E71" s="22">
        <f t="shared" si="1"/>
        <v>26800</v>
      </c>
      <c r="F71" s="15" t="s">
        <v>24</v>
      </c>
      <c r="G71" s="23" t="s">
        <v>26</v>
      </c>
      <c r="H71" s="31"/>
      <c r="I71" s="25" t="b">
        <v>1</v>
      </c>
      <c r="J71" s="26" t="str">
        <f t="shared" si="2"/>
        <v>06 - junio</v>
      </c>
      <c r="K71" s="26" t="str">
        <f t="shared" si="3"/>
        <v>2026</v>
      </c>
    </row>
    <row r="72" ht="22.5" hidden="1" customHeight="1">
      <c r="A72" s="13">
        <v>46179.0</v>
      </c>
      <c r="B72" s="116" t="s">
        <v>91</v>
      </c>
      <c r="C72" s="16">
        <v>83960.0</v>
      </c>
      <c r="D72" s="17">
        <v>1.0</v>
      </c>
      <c r="E72" s="22">
        <f t="shared" si="1"/>
        <v>83960</v>
      </c>
      <c r="F72" s="15" t="s">
        <v>24</v>
      </c>
      <c r="G72" s="23" t="s">
        <v>26</v>
      </c>
      <c r="H72" s="31"/>
      <c r="I72" s="25" t="b">
        <v>1</v>
      </c>
      <c r="J72" s="26" t="str">
        <f t="shared" si="2"/>
        <v>06 - junio</v>
      </c>
      <c r="K72" s="26" t="str">
        <f t="shared" si="3"/>
        <v>2026</v>
      </c>
    </row>
    <row r="73" ht="22.5" hidden="1" customHeight="1">
      <c r="A73" s="13">
        <v>46179.0</v>
      </c>
      <c r="B73" s="116" t="s">
        <v>126</v>
      </c>
      <c r="C73" s="16">
        <v>15000.0</v>
      </c>
      <c r="D73" s="17">
        <v>1.0</v>
      </c>
      <c r="E73" s="22">
        <f t="shared" si="1"/>
        <v>15000</v>
      </c>
      <c r="F73" s="15" t="s">
        <v>24</v>
      </c>
      <c r="G73" s="58"/>
      <c r="H73" s="31"/>
      <c r="I73" s="25" t="b">
        <v>0</v>
      </c>
      <c r="J73" s="26" t="str">
        <f t="shared" si="2"/>
        <v>06 - junio</v>
      </c>
      <c r="K73" s="26" t="str">
        <f t="shared" si="3"/>
        <v>2026</v>
      </c>
    </row>
    <row r="74" ht="22.5" hidden="1" customHeight="1">
      <c r="A74" s="13">
        <v>46183.0</v>
      </c>
      <c r="B74" s="15" t="s">
        <v>101</v>
      </c>
      <c r="C74" s="16">
        <v>270000.0</v>
      </c>
      <c r="D74" s="17">
        <v>1.0</v>
      </c>
      <c r="E74" s="22">
        <f t="shared" si="1"/>
        <v>270000</v>
      </c>
      <c r="F74" s="15" t="s">
        <v>24</v>
      </c>
      <c r="G74" s="23" t="s">
        <v>26</v>
      </c>
      <c r="H74" s="31"/>
      <c r="I74" s="25" t="b">
        <v>1</v>
      </c>
      <c r="J74" s="26" t="str">
        <f t="shared" si="2"/>
        <v>06 - junio</v>
      </c>
      <c r="K74" s="26" t="str">
        <f t="shared" si="3"/>
        <v>2026</v>
      </c>
    </row>
    <row r="75" ht="22.5" hidden="1" customHeight="1">
      <c r="A75" s="13">
        <v>46190.0</v>
      </c>
      <c r="B75" s="15" t="s">
        <v>101</v>
      </c>
      <c r="C75" s="16">
        <v>270000.0</v>
      </c>
      <c r="D75" s="17">
        <v>1.0</v>
      </c>
      <c r="E75" s="22">
        <f t="shared" si="1"/>
        <v>270000</v>
      </c>
      <c r="F75" s="15" t="s">
        <v>24</v>
      </c>
      <c r="G75" s="23" t="s">
        <v>26</v>
      </c>
      <c r="H75" s="31"/>
      <c r="I75" s="25" t="b">
        <v>1</v>
      </c>
      <c r="J75" s="26" t="str">
        <f t="shared" si="2"/>
        <v>06 - junio</v>
      </c>
      <c r="K75" s="26" t="str">
        <f t="shared" si="3"/>
        <v>2026</v>
      </c>
    </row>
    <row r="76" ht="22.5" hidden="1" customHeight="1">
      <c r="A76" s="13">
        <v>46197.0</v>
      </c>
      <c r="B76" s="15" t="s">
        <v>18</v>
      </c>
      <c r="C76" s="16">
        <v>320000.0</v>
      </c>
      <c r="D76" s="17">
        <v>1.0</v>
      </c>
      <c r="E76" s="22">
        <f t="shared" si="1"/>
        <v>320000</v>
      </c>
      <c r="F76" s="15" t="s">
        <v>24</v>
      </c>
      <c r="G76" s="23" t="s">
        <v>26</v>
      </c>
      <c r="H76" s="31"/>
      <c r="I76" s="25" t="b">
        <v>1</v>
      </c>
      <c r="J76" s="26" t="str">
        <f t="shared" si="2"/>
        <v>06 - junio</v>
      </c>
      <c r="K76" s="26" t="str">
        <f t="shared" si="3"/>
        <v>2026</v>
      </c>
    </row>
    <row r="77" ht="22.5" hidden="1" customHeight="1">
      <c r="A77" s="13">
        <v>46197.0</v>
      </c>
      <c r="B77" s="15" t="s">
        <v>101</v>
      </c>
      <c r="C77" s="16">
        <v>270000.0</v>
      </c>
      <c r="D77" s="17">
        <v>1.0</v>
      </c>
      <c r="E77" s="22">
        <f t="shared" si="1"/>
        <v>270000</v>
      </c>
      <c r="F77" s="15" t="s">
        <v>24</v>
      </c>
      <c r="G77" s="23" t="s">
        <v>26</v>
      </c>
      <c r="H77" s="31"/>
      <c r="I77" s="25" t="b">
        <v>1</v>
      </c>
      <c r="J77" s="26" t="str">
        <f t="shared" si="2"/>
        <v>06 - junio</v>
      </c>
      <c r="K77" s="26" t="str">
        <f t="shared" si="3"/>
        <v>2026</v>
      </c>
    </row>
    <row r="78" ht="22.5" hidden="1" customHeight="1">
      <c r="A78" s="13">
        <v>46200.0</v>
      </c>
      <c r="B78" s="116" t="s">
        <v>44</v>
      </c>
      <c r="C78" s="16">
        <v>82000.0</v>
      </c>
      <c r="D78" s="17">
        <v>1.0</v>
      </c>
      <c r="E78" s="22">
        <f t="shared" si="1"/>
        <v>82000</v>
      </c>
      <c r="F78" s="15" t="s">
        <v>24</v>
      </c>
      <c r="G78" s="23" t="s">
        <v>26</v>
      </c>
      <c r="H78" s="31"/>
      <c r="I78" s="25" t="b">
        <v>1</v>
      </c>
      <c r="J78" s="26" t="str">
        <f t="shared" si="2"/>
        <v>06 - junio</v>
      </c>
      <c r="K78" s="26" t="str">
        <f t="shared" si="3"/>
        <v>2026</v>
      </c>
    </row>
    <row r="79" ht="22.5" hidden="1" customHeight="1">
      <c r="A79" s="13">
        <v>46200.0</v>
      </c>
      <c r="B79" s="116" t="s">
        <v>48</v>
      </c>
      <c r="C79" s="16">
        <v>82000.0</v>
      </c>
      <c r="D79" s="17">
        <v>1.0</v>
      </c>
      <c r="E79" s="22">
        <f t="shared" si="1"/>
        <v>82000</v>
      </c>
      <c r="F79" s="15" t="s">
        <v>24</v>
      </c>
      <c r="G79" s="58"/>
      <c r="H79" s="31"/>
      <c r="I79" s="25" t="b">
        <v>0</v>
      </c>
      <c r="J79" s="26" t="str">
        <f t="shared" si="2"/>
        <v>06 - junio</v>
      </c>
      <c r="K79" s="26" t="str">
        <f t="shared" si="3"/>
        <v>2026</v>
      </c>
    </row>
    <row r="80" ht="22.5" hidden="1" customHeight="1">
      <c r="A80" s="13">
        <v>46200.0</v>
      </c>
      <c r="B80" s="116" t="s">
        <v>60</v>
      </c>
      <c r="C80" s="16">
        <v>110000.0</v>
      </c>
      <c r="D80" s="17">
        <v>1.0</v>
      </c>
      <c r="E80" s="22">
        <f t="shared" si="1"/>
        <v>110000</v>
      </c>
      <c r="F80" s="15" t="s">
        <v>24</v>
      </c>
      <c r="G80" s="23" t="s">
        <v>26</v>
      </c>
      <c r="H80" s="31"/>
      <c r="I80" s="25" t="b">
        <v>1</v>
      </c>
      <c r="J80" s="26" t="str">
        <f t="shared" si="2"/>
        <v>06 - junio</v>
      </c>
      <c r="K80" s="26" t="str">
        <f t="shared" si="3"/>
        <v>2026</v>
      </c>
    </row>
    <row r="81" ht="22.5" hidden="1" customHeight="1">
      <c r="A81" s="13">
        <v>46200.0</v>
      </c>
      <c r="B81" s="116" t="s">
        <v>65</v>
      </c>
      <c r="C81" s="16">
        <v>28000.0</v>
      </c>
      <c r="D81" s="17">
        <v>1.0</v>
      </c>
      <c r="E81" s="22">
        <f t="shared" si="1"/>
        <v>28000</v>
      </c>
      <c r="F81" s="15" t="s">
        <v>24</v>
      </c>
      <c r="G81" s="23" t="s">
        <v>26</v>
      </c>
      <c r="H81" s="31"/>
      <c r="I81" s="25" t="b">
        <v>1</v>
      </c>
      <c r="J81" s="26" t="str">
        <f t="shared" si="2"/>
        <v>06 - junio</v>
      </c>
      <c r="K81" s="26" t="str">
        <f t="shared" si="3"/>
        <v>2026</v>
      </c>
    </row>
    <row r="82" ht="22.5" hidden="1" customHeight="1">
      <c r="A82" s="13">
        <v>46200.0</v>
      </c>
      <c r="B82" s="116" t="s">
        <v>91</v>
      </c>
      <c r="C82" s="16">
        <v>73645.0</v>
      </c>
      <c r="D82" s="17">
        <v>1.0</v>
      </c>
      <c r="E82" s="22">
        <f t="shared" si="1"/>
        <v>73645</v>
      </c>
      <c r="F82" s="15" t="s">
        <v>24</v>
      </c>
      <c r="G82" s="23" t="s">
        <v>26</v>
      </c>
      <c r="H82" s="31"/>
      <c r="I82" s="25" t="b">
        <v>1</v>
      </c>
      <c r="J82" s="26" t="str">
        <f t="shared" si="2"/>
        <v>06 - junio</v>
      </c>
      <c r="K82" s="26" t="str">
        <f t="shared" si="3"/>
        <v>2026</v>
      </c>
    </row>
    <row r="83" ht="22.5" hidden="1" customHeight="1">
      <c r="A83" s="13">
        <v>46200.0</v>
      </c>
      <c r="B83" s="116" t="s">
        <v>126</v>
      </c>
      <c r="C83" s="16">
        <v>5000.0</v>
      </c>
      <c r="D83" s="17">
        <v>1.0</v>
      </c>
      <c r="E83" s="22">
        <f t="shared" si="1"/>
        <v>5000</v>
      </c>
      <c r="F83" s="15" t="s">
        <v>24</v>
      </c>
      <c r="G83" s="58"/>
      <c r="H83" s="31"/>
      <c r="I83" s="25" t="b">
        <v>0</v>
      </c>
      <c r="J83" s="26" t="str">
        <f t="shared" si="2"/>
        <v>06 - junio</v>
      </c>
      <c r="K83" s="26" t="str">
        <f t="shared" si="3"/>
        <v>2026</v>
      </c>
    </row>
    <row r="84" ht="22.5" hidden="1" customHeight="1">
      <c r="A84" s="13">
        <v>46200.0</v>
      </c>
      <c r="B84" s="116" t="s">
        <v>34</v>
      </c>
      <c r="C84" s="16">
        <v>45116.0</v>
      </c>
      <c r="D84" s="17">
        <v>1.0</v>
      </c>
      <c r="E84" s="22">
        <f t="shared" si="1"/>
        <v>45116</v>
      </c>
      <c r="F84" s="15" t="s">
        <v>24</v>
      </c>
      <c r="G84" s="23" t="s">
        <v>26</v>
      </c>
      <c r="H84" s="31"/>
      <c r="I84" s="25" t="b">
        <v>1</v>
      </c>
      <c r="J84" s="26" t="str">
        <f t="shared" si="2"/>
        <v>06 - junio</v>
      </c>
      <c r="K84" s="26" t="str">
        <f t="shared" si="3"/>
        <v>2026</v>
      </c>
    </row>
    <row r="85" ht="22.5" hidden="1" customHeight="1">
      <c r="A85" s="13">
        <v>46204.0</v>
      </c>
      <c r="B85" s="15" t="s">
        <v>101</v>
      </c>
      <c r="C85" s="16">
        <v>300000.0</v>
      </c>
      <c r="D85" s="17">
        <v>1.0</v>
      </c>
      <c r="E85" s="22">
        <f t="shared" si="1"/>
        <v>300000</v>
      </c>
      <c r="F85" s="15" t="s">
        <v>24</v>
      </c>
      <c r="G85" s="23" t="s">
        <v>26</v>
      </c>
      <c r="H85" s="31"/>
      <c r="I85" s="25" t="b">
        <v>1</v>
      </c>
      <c r="J85" s="26" t="str">
        <f t="shared" si="2"/>
        <v>07 - julio</v>
      </c>
      <c r="K85" s="26" t="str">
        <f t="shared" si="3"/>
        <v>2026</v>
      </c>
    </row>
    <row r="86" ht="22.5" hidden="1" customHeight="1">
      <c r="A86" s="13">
        <v>46211.0</v>
      </c>
      <c r="B86" s="15" t="s">
        <v>101</v>
      </c>
      <c r="C86" s="16">
        <v>300000.0</v>
      </c>
      <c r="D86" s="17">
        <v>1.0</v>
      </c>
      <c r="E86" s="22">
        <f t="shared" si="1"/>
        <v>300000</v>
      </c>
      <c r="F86" s="15" t="s">
        <v>24</v>
      </c>
      <c r="G86" s="23" t="s">
        <v>26</v>
      </c>
      <c r="H86" s="31"/>
      <c r="I86" s="25" t="b">
        <v>1</v>
      </c>
      <c r="J86" s="26" t="str">
        <f t="shared" si="2"/>
        <v>07 - julio</v>
      </c>
      <c r="K86" s="26" t="str">
        <f t="shared" si="3"/>
        <v>2026</v>
      </c>
    </row>
    <row r="87" ht="22.5" hidden="1" customHeight="1">
      <c r="A87" s="13">
        <v>46214.0</v>
      </c>
      <c r="B87" s="116" t="s">
        <v>44</v>
      </c>
      <c r="C87" s="16">
        <v>82000.0</v>
      </c>
      <c r="D87" s="17">
        <v>1.0</v>
      </c>
      <c r="E87" s="22">
        <f t="shared" si="1"/>
        <v>82000</v>
      </c>
      <c r="F87" s="15" t="s">
        <v>24</v>
      </c>
      <c r="G87" s="23" t="s">
        <v>26</v>
      </c>
      <c r="H87" s="31"/>
      <c r="I87" s="25" t="b">
        <v>1</v>
      </c>
      <c r="J87" s="26" t="str">
        <f t="shared" si="2"/>
        <v>07 - julio</v>
      </c>
      <c r="K87" s="26" t="str">
        <f t="shared" si="3"/>
        <v>2026</v>
      </c>
    </row>
    <row r="88" ht="22.5" hidden="1" customHeight="1">
      <c r="A88" s="13">
        <v>46214.0</v>
      </c>
      <c r="B88" s="116" t="s">
        <v>60</v>
      </c>
      <c r="C88" s="16">
        <v>110000.0</v>
      </c>
      <c r="D88" s="17">
        <v>1.0</v>
      </c>
      <c r="E88" s="22">
        <f t="shared" si="1"/>
        <v>110000</v>
      </c>
      <c r="F88" s="15" t="s">
        <v>24</v>
      </c>
      <c r="G88" s="23" t="s">
        <v>26</v>
      </c>
      <c r="H88" s="31"/>
      <c r="I88" s="25" t="b">
        <v>1</v>
      </c>
      <c r="J88" s="26" t="str">
        <f t="shared" si="2"/>
        <v>07 - julio</v>
      </c>
      <c r="K88" s="26" t="str">
        <f t="shared" si="3"/>
        <v>2026</v>
      </c>
    </row>
    <row r="89" ht="22.5" hidden="1" customHeight="1">
      <c r="A89" s="13">
        <v>46214.0</v>
      </c>
      <c r="B89" s="116" t="s">
        <v>65</v>
      </c>
      <c r="C89" s="16">
        <v>26000.0</v>
      </c>
      <c r="D89" s="17">
        <v>1.0</v>
      </c>
      <c r="E89" s="22">
        <f t="shared" si="1"/>
        <v>26000</v>
      </c>
      <c r="F89" s="15" t="s">
        <v>24</v>
      </c>
      <c r="G89" s="23" t="s">
        <v>26</v>
      </c>
      <c r="H89" s="31"/>
      <c r="I89" s="25" t="b">
        <v>1</v>
      </c>
      <c r="J89" s="26" t="str">
        <f t="shared" si="2"/>
        <v>07 - julio</v>
      </c>
      <c r="K89" s="26" t="str">
        <f t="shared" si="3"/>
        <v>2026</v>
      </c>
    </row>
    <row r="90" ht="22.5" hidden="1" customHeight="1">
      <c r="A90" s="13">
        <v>46214.0</v>
      </c>
      <c r="B90" s="15" t="s">
        <v>83</v>
      </c>
      <c r="C90" s="16">
        <v>11000.0</v>
      </c>
      <c r="D90" s="17">
        <v>1.0</v>
      </c>
      <c r="E90" s="22">
        <f t="shared" si="1"/>
        <v>11000</v>
      </c>
      <c r="F90" s="15" t="s">
        <v>24</v>
      </c>
      <c r="G90" s="23" t="s">
        <v>26</v>
      </c>
      <c r="H90" s="24" t="s">
        <v>263</v>
      </c>
      <c r="I90" s="25" t="b">
        <v>1</v>
      </c>
      <c r="J90" s="26" t="str">
        <f t="shared" si="2"/>
        <v>07 - julio</v>
      </c>
      <c r="K90" s="26" t="str">
        <f t="shared" si="3"/>
        <v>2026</v>
      </c>
    </row>
    <row r="91" ht="22.5" hidden="1" customHeight="1">
      <c r="A91" s="13">
        <v>46214.0</v>
      </c>
      <c r="B91" s="116" t="s">
        <v>91</v>
      </c>
      <c r="C91" s="16">
        <v>83030.0</v>
      </c>
      <c r="D91" s="17">
        <v>1.0</v>
      </c>
      <c r="E91" s="22">
        <f t="shared" si="1"/>
        <v>83030</v>
      </c>
      <c r="F91" s="15" t="s">
        <v>24</v>
      </c>
      <c r="G91" s="23" t="s">
        <v>26</v>
      </c>
      <c r="H91" s="24" t="s">
        <v>263</v>
      </c>
      <c r="I91" s="25" t="b">
        <v>1</v>
      </c>
      <c r="J91" s="26" t="str">
        <f t="shared" si="2"/>
        <v>07 - julio</v>
      </c>
      <c r="K91" s="26" t="str">
        <f t="shared" si="3"/>
        <v>2026</v>
      </c>
    </row>
    <row r="92" ht="22.5" hidden="1" customHeight="1">
      <c r="A92" s="13">
        <v>46214.0</v>
      </c>
      <c r="B92" s="116" t="s">
        <v>126</v>
      </c>
      <c r="C92" s="16">
        <v>9200.0</v>
      </c>
      <c r="D92" s="17">
        <v>1.0</v>
      </c>
      <c r="E92" s="22">
        <f t="shared" si="1"/>
        <v>9200</v>
      </c>
      <c r="F92" s="15" t="s">
        <v>24</v>
      </c>
      <c r="G92" s="23" t="s">
        <v>26</v>
      </c>
      <c r="H92" s="24" t="s">
        <v>263</v>
      </c>
      <c r="I92" s="25" t="b">
        <v>1</v>
      </c>
      <c r="J92" s="26" t="str">
        <f t="shared" si="2"/>
        <v>07 - julio</v>
      </c>
      <c r="K92" s="26" t="str">
        <f t="shared" si="3"/>
        <v>2026</v>
      </c>
    </row>
    <row r="93" ht="22.5" hidden="1" customHeight="1">
      <c r="A93" s="13">
        <v>46227.0</v>
      </c>
      <c r="B93" s="15" t="s">
        <v>18</v>
      </c>
      <c r="C93" s="16">
        <v>320000.0</v>
      </c>
      <c r="D93" s="17">
        <v>1.0</v>
      </c>
      <c r="E93" s="22">
        <f t="shared" si="1"/>
        <v>320000</v>
      </c>
      <c r="F93" s="15" t="s">
        <v>24</v>
      </c>
      <c r="G93" s="23" t="s">
        <v>26</v>
      </c>
      <c r="H93" s="31"/>
      <c r="I93" s="25" t="b">
        <v>1</v>
      </c>
      <c r="J93" s="26" t="str">
        <f t="shared" si="2"/>
        <v>07 - julio</v>
      </c>
      <c r="K93" s="26" t="str">
        <f t="shared" si="3"/>
        <v>2026</v>
      </c>
    </row>
    <row r="94" ht="22.5" hidden="1" customHeight="1">
      <c r="A94" s="13">
        <v>46232.0</v>
      </c>
      <c r="B94" s="15" t="s">
        <v>101</v>
      </c>
      <c r="C94" s="16">
        <v>350000.0</v>
      </c>
      <c r="D94" s="17">
        <v>1.0</v>
      </c>
      <c r="E94" s="22">
        <f t="shared" si="1"/>
        <v>350000</v>
      </c>
      <c r="F94" s="15" t="s">
        <v>24</v>
      </c>
      <c r="G94" s="23" t="s">
        <v>26</v>
      </c>
      <c r="H94" s="31"/>
      <c r="I94" s="25" t="b">
        <v>1</v>
      </c>
      <c r="J94" s="26" t="str">
        <f t="shared" si="2"/>
        <v>07 - julio</v>
      </c>
      <c r="K94" s="26" t="str">
        <f t="shared" si="3"/>
        <v>2026</v>
      </c>
    </row>
    <row r="95" ht="22.5" hidden="1" customHeight="1">
      <c r="A95" s="13">
        <v>46239.0</v>
      </c>
      <c r="B95" s="15" t="s">
        <v>101</v>
      </c>
      <c r="C95" s="16">
        <v>350000.0</v>
      </c>
      <c r="D95" s="17">
        <v>1.0</v>
      </c>
      <c r="E95" s="22">
        <f t="shared" si="1"/>
        <v>350000</v>
      </c>
      <c r="F95" s="15" t="s">
        <v>24</v>
      </c>
      <c r="G95" s="23" t="s">
        <v>26</v>
      </c>
      <c r="H95" s="31"/>
      <c r="I95" s="25" t="b">
        <v>1</v>
      </c>
      <c r="J95" s="26" t="str">
        <f t="shared" si="2"/>
        <v>08 - agosto</v>
      </c>
      <c r="K95" s="26" t="str">
        <f t="shared" si="3"/>
        <v>2026</v>
      </c>
    </row>
    <row r="96" ht="22.5" hidden="1" customHeight="1">
      <c r="A96" s="13">
        <v>46242.0</v>
      </c>
      <c r="B96" s="116" t="s">
        <v>44</v>
      </c>
      <c r="C96" s="16">
        <v>82000.0</v>
      </c>
      <c r="D96" s="17">
        <v>1.0</v>
      </c>
      <c r="E96" s="22">
        <f t="shared" si="1"/>
        <v>82000</v>
      </c>
      <c r="F96" s="15" t="s">
        <v>24</v>
      </c>
      <c r="G96" s="23" t="s">
        <v>26</v>
      </c>
      <c r="H96" s="31"/>
      <c r="I96" s="25" t="b">
        <v>1</v>
      </c>
      <c r="J96" s="26" t="str">
        <f t="shared" si="2"/>
        <v>08 - agosto</v>
      </c>
      <c r="K96" s="26" t="str">
        <f t="shared" si="3"/>
        <v>2026</v>
      </c>
    </row>
    <row r="97" ht="22.5" hidden="1" customHeight="1">
      <c r="A97" s="13">
        <v>46242.0</v>
      </c>
      <c r="B97" s="116" t="s">
        <v>48</v>
      </c>
      <c r="C97" s="16">
        <v>82000.0</v>
      </c>
      <c r="D97" s="17">
        <v>1.0</v>
      </c>
      <c r="E97" s="22">
        <f t="shared" si="1"/>
        <v>82000</v>
      </c>
      <c r="F97" s="15" t="s">
        <v>24</v>
      </c>
      <c r="G97" s="23" t="s">
        <v>26</v>
      </c>
      <c r="H97" s="31"/>
      <c r="I97" s="25" t="b">
        <v>1</v>
      </c>
      <c r="J97" s="26" t="str">
        <f t="shared" si="2"/>
        <v>08 - agosto</v>
      </c>
      <c r="K97" s="26" t="str">
        <f t="shared" si="3"/>
        <v>2026</v>
      </c>
    </row>
    <row r="98" ht="22.5" hidden="1" customHeight="1">
      <c r="A98" s="13">
        <v>46242.0</v>
      </c>
      <c r="B98" s="116" t="s">
        <v>60</v>
      </c>
      <c r="C98" s="16">
        <v>110000.0</v>
      </c>
      <c r="D98" s="17">
        <v>1.0</v>
      </c>
      <c r="E98" s="22">
        <f t="shared" si="1"/>
        <v>110000</v>
      </c>
      <c r="F98" s="15" t="s">
        <v>24</v>
      </c>
      <c r="G98" s="23" t="s">
        <v>26</v>
      </c>
      <c r="H98" s="31"/>
      <c r="I98" s="25" t="b">
        <v>1</v>
      </c>
      <c r="J98" s="26" t="str">
        <f t="shared" si="2"/>
        <v>08 - agosto</v>
      </c>
      <c r="K98" s="26" t="str">
        <f t="shared" si="3"/>
        <v>2026</v>
      </c>
    </row>
    <row r="99" ht="22.5" hidden="1" customHeight="1">
      <c r="A99" s="13">
        <v>46242.0</v>
      </c>
      <c r="B99" s="116" t="s">
        <v>65</v>
      </c>
      <c r="C99" s="16">
        <v>28000.0</v>
      </c>
      <c r="D99" s="17">
        <v>1.0</v>
      </c>
      <c r="E99" s="22">
        <f t="shared" si="1"/>
        <v>28000</v>
      </c>
      <c r="F99" s="15" t="s">
        <v>24</v>
      </c>
      <c r="G99" s="23" t="s">
        <v>26</v>
      </c>
      <c r="H99" s="31"/>
      <c r="I99" s="25" t="b">
        <v>1</v>
      </c>
      <c r="J99" s="26" t="str">
        <f t="shared" si="2"/>
        <v>08 - agosto</v>
      </c>
      <c r="K99" s="26" t="str">
        <f t="shared" si="3"/>
        <v>2026</v>
      </c>
    </row>
    <row r="100" ht="22.5" hidden="1" customHeight="1">
      <c r="A100" s="13">
        <v>46242.0</v>
      </c>
      <c r="B100" s="15" t="s">
        <v>83</v>
      </c>
      <c r="C100" s="16">
        <v>22100.0</v>
      </c>
      <c r="D100" s="17">
        <v>1.0</v>
      </c>
      <c r="E100" s="22">
        <f t="shared" si="1"/>
        <v>22100</v>
      </c>
      <c r="F100" s="15" t="s">
        <v>24</v>
      </c>
      <c r="G100" s="23" t="s">
        <v>26</v>
      </c>
      <c r="H100" s="31"/>
      <c r="I100" s="25" t="b">
        <v>1</v>
      </c>
      <c r="J100" s="26" t="str">
        <f t="shared" si="2"/>
        <v>08 - agosto</v>
      </c>
      <c r="K100" s="26" t="str">
        <f t="shared" si="3"/>
        <v>2026</v>
      </c>
    </row>
    <row r="101" ht="22.5" hidden="1" customHeight="1">
      <c r="A101" s="13">
        <v>46242.0</v>
      </c>
      <c r="B101" s="116" t="s">
        <v>77</v>
      </c>
      <c r="C101" s="16">
        <v>13400.0</v>
      </c>
      <c r="D101" s="17">
        <v>1.0</v>
      </c>
      <c r="E101" s="22">
        <f t="shared" si="1"/>
        <v>13400</v>
      </c>
      <c r="F101" s="15" t="s">
        <v>24</v>
      </c>
      <c r="G101" s="23" t="s">
        <v>26</v>
      </c>
      <c r="H101" s="31"/>
      <c r="I101" s="25" t="b">
        <v>1</v>
      </c>
      <c r="J101" s="26" t="str">
        <f t="shared" si="2"/>
        <v>08 - agosto</v>
      </c>
      <c r="K101" s="26" t="str">
        <f t="shared" si="3"/>
        <v>2026</v>
      </c>
    </row>
    <row r="102" ht="22.5" hidden="1" customHeight="1">
      <c r="A102" s="13">
        <v>46242.0</v>
      </c>
      <c r="B102" s="116" t="s">
        <v>91</v>
      </c>
      <c r="C102" s="16">
        <v>98485.0</v>
      </c>
      <c r="D102" s="17">
        <v>1.0</v>
      </c>
      <c r="E102" s="22">
        <f t="shared" si="1"/>
        <v>98485</v>
      </c>
      <c r="F102" s="15" t="s">
        <v>24</v>
      </c>
      <c r="G102" s="23" t="s">
        <v>26</v>
      </c>
      <c r="H102" s="31"/>
      <c r="I102" s="25" t="b">
        <v>1</v>
      </c>
      <c r="J102" s="26" t="str">
        <f t="shared" si="2"/>
        <v>08 - agosto</v>
      </c>
      <c r="K102" s="26" t="str">
        <f t="shared" si="3"/>
        <v>2026</v>
      </c>
    </row>
    <row r="103" ht="22.5" hidden="1" customHeight="1">
      <c r="A103" s="13">
        <v>46242.0</v>
      </c>
      <c r="B103" s="116" t="s">
        <v>126</v>
      </c>
      <c r="C103" s="16">
        <v>6710.0</v>
      </c>
      <c r="D103" s="17">
        <v>1.0</v>
      </c>
      <c r="E103" s="22">
        <f t="shared" si="1"/>
        <v>6710</v>
      </c>
      <c r="F103" s="15" t="s">
        <v>24</v>
      </c>
      <c r="G103" s="23" t="s">
        <v>26</v>
      </c>
      <c r="H103" s="31"/>
      <c r="I103" s="25" t="b">
        <v>1</v>
      </c>
      <c r="J103" s="26" t="str">
        <f t="shared" si="2"/>
        <v>08 - agosto</v>
      </c>
      <c r="K103" s="26" t="str">
        <f t="shared" si="3"/>
        <v>2026</v>
      </c>
    </row>
    <row r="104" ht="22.5" hidden="1" customHeight="1">
      <c r="A104" s="13">
        <v>46242.0</v>
      </c>
      <c r="B104" s="116" t="s">
        <v>157</v>
      </c>
      <c r="C104" s="16">
        <v>3900.0</v>
      </c>
      <c r="D104" s="17">
        <v>1.0</v>
      </c>
      <c r="E104" s="22">
        <f t="shared" si="1"/>
        <v>3900</v>
      </c>
      <c r="F104" s="15" t="s">
        <v>24</v>
      </c>
      <c r="G104" s="23" t="s">
        <v>26</v>
      </c>
      <c r="H104" s="31"/>
      <c r="I104" s="25" t="b">
        <v>1</v>
      </c>
      <c r="J104" s="26" t="str">
        <f t="shared" si="2"/>
        <v>08 - agosto</v>
      </c>
      <c r="K104" s="26" t="str">
        <f t="shared" si="3"/>
        <v>2026</v>
      </c>
    </row>
    <row r="105" ht="22.5" hidden="1" customHeight="1">
      <c r="A105" s="13">
        <v>46242.0</v>
      </c>
      <c r="B105" s="116" t="s">
        <v>91</v>
      </c>
      <c r="C105" s="16">
        <v>4200.0</v>
      </c>
      <c r="D105" s="17">
        <v>1.0</v>
      </c>
      <c r="E105" s="22">
        <f t="shared" si="1"/>
        <v>4200</v>
      </c>
      <c r="F105" s="15" t="s">
        <v>24</v>
      </c>
      <c r="G105" s="23" t="s">
        <v>26</v>
      </c>
      <c r="H105" s="31"/>
      <c r="I105" s="25" t="b">
        <v>1</v>
      </c>
      <c r="J105" s="26" t="str">
        <f t="shared" si="2"/>
        <v>08 - agosto</v>
      </c>
      <c r="K105" s="26" t="str">
        <f t="shared" si="3"/>
        <v>2026</v>
      </c>
    </row>
    <row r="106" ht="22.5" hidden="1" customHeight="1">
      <c r="A106" s="13">
        <v>46242.0</v>
      </c>
      <c r="B106" s="116" t="s">
        <v>157</v>
      </c>
      <c r="C106" s="16">
        <v>4400.0</v>
      </c>
      <c r="D106" s="17">
        <v>1.0</v>
      </c>
      <c r="E106" s="22">
        <f t="shared" si="1"/>
        <v>4400</v>
      </c>
      <c r="F106" s="15" t="s">
        <v>24</v>
      </c>
      <c r="G106" s="23" t="s">
        <v>26</v>
      </c>
      <c r="H106" s="31"/>
      <c r="I106" s="25" t="b">
        <v>1</v>
      </c>
      <c r="J106" s="26" t="str">
        <f t="shared" si="2"/>
        <v>08 - agosto</v>
      </c>
      <c r="K106" s="26" t="str">
        <f t="shared" si="3"/>
        <v>2026</v>
      </c>
    </row>
    <row r="107" ht="22.5" hidden="1" customHeight="1">
      <c r="A107" s="13">
        <v>46253.0</v>
      </c>
      <c r="B107" s="15" t="s">
        <v>101</v>
      </c>
      <c r="C107" s="16">
        <v>350000.0</v>
      </c>
      <c r="D107" s="17">
        <v>1.0</v>
      </c>
      <c r="E107" s="22">
        <f t="shared" si="1"/>
        <v>350000</v>
      </c>
      <c r="F107" s="15" t="s">
        <v>24</v>
      </c>
      <c r="G107" s="23" t="s">
        <v>26</v>
      </c>
      <c r="H107" s="31"/>
      <c r="I107" s="25" t="b">
        <v>1</v>
      </c>
      <c r="J107" s="26" t="str">
        <f t="shared" si="2"/>
        <v>08 - agosto</v>
      </c>
      <c r="K107" s="26" t="str">
        <f t="shared" si="3"/>
        <v>2026</v>
      </c>
    </row>
    <row r="108" ht="22.5" hidden="1" customHeight="1">
      <c r="A108" s="13">
        <v>46255.0</v>
      </c>
      <c r="B108" s="15" t="s">
        <v>18</v>
      </c>
      <c r="C108" s="16">
        <v>320000.0</v>
      </c>
      <c r="D108" s="17">
        <v>1.0</v>
      </c>
      <c r="E108" s="22">
        <f t="shared" si="1"/>
        <v>320000</v>
      </c>
      <c r="F108" s="15" t="s">
        <v>24</v>
      </c>
      <c r="G108" s="23" t="s">
        <v>26</v>
      </c>
      <c r="H108" s="31"/>
      <c r="I108" s="25" t="b">
        <v>1</v>
      </c>
      <c r="J108" s="26" t="str">
        <f t="shared" si="2"/>
        <v>08 - agosto</v>
      </c>
      <c r="K108" s="26" t="str">
        <f t="shared" si="3"/>
        <v>2026</v>
      </c>
    </row>
    <row r="109" ht="22.5" hidden="1" customHeight="1">
      <c r="A109" s="13">
        <v>46260.0</v>
      </c>
      <c r="B109" s="15" t="s">
        <v>101</v>
      </c>
      <c r="C109" s="16">
        <v>350000.0</v>
      </c>
      <c r="D109" s="17">
        <v>1.0</v>
      </c>
      <c r="E109" s="22">
        <f t="shared" si="1"/>
        <v>350000</v>
      </c>
      <c r="F109" s="15" t="s">
        <v>24</v>
      </c>
      <c r="G109" s="23" t="s">
        <v>26</v>
      </c>
      <c r="H109" s="31"/>
      <c r="I109" s="25" t="b">
        <v>1</v>
      </c>
      <c r="J109" s="26" t="str">
        <f t="shared" si="2"/>
        <v>08 - agosto</v>
      </c>
      <c r="K109" s="26" t="str">
        <f t="shared" si="3"/>
        <v>2026</v>
      </c>
    </row>
    <row r="110" ht="22.5" customHeight="1">
      <c r="A110" s="13">
        <v>46268.0</v>
      </c>
      <c r="B110" s="15" t="s">
        <v>101</v>
      </c>
      <c r="C110" s="16">
        <v>350000.0</v>
      </c>
      <c r="D110" s="17">
        <v>1.0</v>
      </c>
      <c r="E110" s="22">
        <f t="shared" si="1"/>
        <v>350000</v>
      </c>
      <c r="F110" s="15" t="s">
        <v>24</v>
      </c>
      <c r="G110" s="23" t="s">
        <v>26</v>
      </c>
      <c r="H110" s="31"/>
      <c r="I110" s="25" t="b">
        <v>1</v>
      </c>
      <c r="J110" s="26" t="str">
        <f t="shared" si="2"/>
        <v>09 - septiembre</v>
      </c>
      <c r="K110" s="26" t="str">
        <f t="shared" si="3"/>
        <v>2026</v>
      </c>
    </row>
    <row r="111" ht="22.5" customHeight="1">
      <c r="A111" s="13">
        <v>46268.0</v>
      </c>
      <c r="B111" s="117" t="s">
        <v>34</v>
      </c>
      <c r="C111" s="16">
        <v>44130.0</v>
      </c>
      <c r="D111" s="17">
        <v>1.0</v>
      </c>
      <c r="E111" s="22">
        <f t="shared" si="1"/>
        <v>44130</v>
      </c>
      <c r="F111" s="15" t="s">
        <v>24</v>
      </c>
      <c r="G111" s="23" t="s">
        <v>26</v>
      </c>
      <c r="H111" s="31"/>
      <c r="I111" s="25" t="b">
        <v>1</v>
      </c>
      <c r="J111" s="26" t="str">
        <f t="shared" si="2"/>
        <v>09 - septiembre</v>
      </c>
      <c r="K111" s="26" t="str">
        <f t="shared" si="3"/>
        <v>2026</v>
      </c>
    </row>
    <row r="112" ht="22.5" customHeight="1">
      <c r="A112" s="13">
        <v>46269.0</v>
      </c>
      <c r="B112" s="116" t="s">
        <v>65</v>
      </c>
      <c r="C112" s="16">
        <v>25000.0</v>
      </c>
      <c r="D112" s="17">
        <v>1.0</v>
      </c>
      <c r="E112" s="22">
        <f t="shared" si="1"/>
        <v>25000</v>
      </c>
      <c r="F112" s="15" t="s">
        <v>24</v>
      </c>
      <c r="G112" s="23" t="s">
        <v>26</v>
      </c>
      <c r="H112" s="31"/>
      <c r="I112" s="25" t="b">
        <v>1</v>
      </c>
      <c r="J112" s="26" t="str">
        <f t="shared" si="2"/>
        <v>09 - septiembre</v>
      </c>
      <c r="K112" s="26" t="str">
        <f t="shared" si="3"/>
        <v>2026</v>
      </c>
    </row>
    <row r="113" ht="22.5" customHeight="1">
      <c r="A113" s="13">
        <v>46269.0</v>
      </c>
      <c r="B113" s="116" t="s">
        <v>91</v>
      </c>
      <c r="C113" s="16">
        <v>134820.0</v>
      </c>
      <c r="D113" s="17">
        <v>1.0</v>
      </c>
      <c r="E113" s="22">
        <f t="shared" si="1"/>
        <v>134820</v>
      </c>
      <c r="F113" s="15" t="s">
        <v>24</v>
      </c>
      <c r="G113" s="23" t="s">
        <v>26</v>
      </c>
      <c r="H113" s="31"/>
      <c r="I113" s="25" t="b">
        <v>1</v>
      </c>
      <c r="J113" s="26" t="str">
        <f t="shared" si="2"/>
        <v>09 - septiembre</v>
      </c>
      <c r="K113" s="26" t="str">
        <f t="shared" si="3"/>
        <v>2026</v>
      </c>
    </row>
    <row r="114" ht="22.5" customHeight="1">
      <c r="A114" s="13">
        <v>46269.0</v>
      </c>
      <c r="B114" s="116" t="s">
        <v>126</v>
      </c>
      <c r="C114" s="16">
        <v>6700.0</v>
      </c>
      <c r="D114" s="17">
        <v>1.0</v>
      </c>
      <c r="E114" s="22">
        <f t="shared" si="1"/>
        <v>6700</v>
      </c>
      <c r="F114" s="15" t="s">
        <v>24</v>
      </c>
      <c r="G114" s="23" t="s">
        <v>26</v>
      </c>
      <c r="H114" s="31"/>
      <c r="I114" s="25" t="b">
        <v>1</v>
      </c>
      <c r="J114" s="26" t="str">
        <f t="shared" si="2"/>
        <v>09 - septiembre</v>
      </c>
      <c r="K114" s="26" t="str">
        <f t="shared" si="3"/>
        <v>2026</v>
      </c>
    </row>
    <row r="115" ht="22.5" customHeight="1">
      <c r="A115" s="13">
        <v>46269.0</v>
      </c>
      <c r="B115" s="116" t="s">
        <v>157</v>
      </c>
      <c r="C115" s="16">
        <v>4363.0</v>
      </c>
      <c r="D115" s="17">
        <v>1.0</v>
      </c>
      <c r="E115" s="22">
        <f t="shared" si="1"/>
        <v>4363</v>
      </c>
      <c r="F115" s="15" t="s">
        <v>24</v>
      </c>
      <c r="G115" s="23" t="s">
        <v>26</v>
      </c>
      <c r="H115" s="31"/>
      <c r="I115" s="25" t="b">
        <v>1</v>
      </c>
      <c r="J115" s="26" t="str">
        <f t="shared" si="2"/>
        <v>09 - septiembre</v>
      </c>
      <c r="K115" s="26" t="str">
        <f t="shared" si="3"/>
        <v>2026</v>
      </c>
    </row>
    <row r="116" ht="22.5" customHeight="1">
      <c r="A116" s="13">
        <v>46270.0</v>
      </c>
      <c r="B116" s="15" t="s">
        <v>101</v>
      </c>
      <c r="C116" s="16">
        <v>350000.0</v>
      </c>
      <c r="D116" s="17">
        <v>1.0</v>
      </c>
      <c r="E116" s="22">
        <f t="shared" si="1"/>
        <v>350000</v>
      </c>
      <c r="F116" s="15" t="s">
        <v>24</v>
      </c>
      <c r="G116" s="58"/>
      <c r="H116" s="31"/>
      <c r="I116" s="25" t="b">
        <v>0</v>
      </c>
      <c r="J116" s="26" t="str">
        <f t="shared" si="2"/>
        <v>09 - septiembre</v>
      </c>
      <c r="K116" s="26" t="str">
        <f t="shared" si="3"/>
        <v>2026</v>
      </c>
    </row>
    <row r="117" ht="22.5" customHeight="1">
      <c r="A117" s="13">
        <v>46270.0</v>
      </c>
      <c r="B117" s="116" t="s">
        <v>44</v>
      </c>
      <c r="C117" s="16">
        <v>90000.0</v>
      </c>
      <c r="D117" s="17">
        <v>1.0</v>
      </c>
      <c r="E117" s="22">
        <f t="shared" si="1"/>
        <v>90000</v>
      </c>
      <c r="F117" s="15" t="s">
        <v>24</v>
      </c>
      <c r="G117" s="23" t="s">
        <v>26</v>
      </c>
      <c r="H117" s="31"/>
      <c r="I117" s="25" t="b">
        <v>1</v>
      </c>
      <c r="J117" s="26" t="str">
        <f t="shared" si="2"/>
        <v>09 - septiembre</v>
      </c>
      <c r="K117" s="26" t="str">
        <f t="shared" si="3"/>
        <v>2026</v>
      </c>
    </row>
    <row r="118" ht="22.5" customHeight="1">
      <c r="A118" s="13">
        <v>46270.0</v>
      </c>
      <c r="B118" s="116" t="s">
        <v>48</v>
      </c>
      <c r="C118" s="16">
        <v>90000.0</v>
      </c>
      <c r="D118" s="17">
        <v>1.0</v>
      </c>
      <c r="E118" s="22">
        <f t="shared" si="1"/>
        <v>90000</v>
      </c>
      <c r="F118" s="15" t="s">
        <v>24</v>
      </c>
      <c r="G118" s="23" t="s">
        <v>26</v>
      </c>
      <c r="H118" s="31"/>
      <c r="I118" s="25" t="b">
        <v>1</v>
      </c>
      <c r="J118" s="26" t="str">
        <f t="shared" si="2"/>
        <v>09 - septiembre</v>
      </c>
      <c r="K118" s="26" t="str">
        <f t="shared" si="3"/>
        <v>2026</v>
      </c>
    </row>
    <row r="119" ht="22.5" customHeight="1">
      <c r="A119" s="13">
        <v>46270.0</v>
      </c>
      <c r="B119" s="116" t="s">
        <v>60</v>
      </c>
      <c r="C119" s="16">
        <v>110000.0</v>
      </c>
      <c r="D119" s="17">
        <v>1.0</v>
      </c>
      <c r="E119" s="22">
        <f t="shared" si="1"/>
        <v>110000</v>
      </c>
      <c r="F119" s="15" t="s">
        <v>24</v>
      </c>
      <c r="G119" s="23" t="s">
        <v>26</v>
      </c>
      <c r="H119" s="31"/>
      <c r="I119" s="25" t="b">
        <v>1</v>
      </c>
      <c r="J119" s="26" t="str">
        <f t="shared" si="2"/>
        <v>09 - septiembre</v>
      </c>
      <c r="K119" s="26" t="str">
        <f t="shared" si="3"/>
        <v>2026</v>
      </c>
    </row>
    <row r="120" ht="22.5" customHeight="1">
      <c r="A120" s="13">
        <v>46269.0</v>
      </c>
      <c r="B120" s="116" t="s">
        <v>126</v>
      </c>
      <c r="C120" s="16">
        <v>4400.0</v>
      </c>
      <c r="D120" s="17">
        <v>1.0</v>
      </c>
      <c r="E120" s="22">
        <f t="shared" si="1"/>
        <v>4400</v>
      </c>
      <c r="F120" s="15" t="s">
        <v>24</v>
      </c>
      <c r="G120" s="23" t="s">
        <v>26</v>
      </c>
      <c r="H120" s="31"/>
      <c r="I120" s="25" t="b">
        <v>1</v>
      </c>
      <c r="J120" s="26" t="str">
        <f t="shared" si="2"/>
        <v>09 - septiembre</v>
      </c>
      <c r="K120" s="26" t="str">
        <f t="shared" si="3"/>
        <v>2026</v>
      </c>
    </row>
    <row r="121" ht="22.5" customHeight="1">
      <c r="A121" s="13">
        <v>46283.0</v>
      </c>
      <c r="B121" s="15" t="s">
        <v>18</v>
      </c>
      <c r="C121" s="16">
        <v>320000.0</v>
      </c>
      <c r="D121" s="17">
        <v>1.0</v>
      </c>
      <c r="E121" s="22">
        <f t="shared" si="1"/>
        <v>320000</v>
      </c>
      <c r="F121" s="15" t="s">
        <v>24</v>
      </c>
      <c r="G121" s="23" t="s">
        <v>26</v>
      </c>
      <c r="H121" s="31"/>
      <c r="I121" s="25" t="b">
        <v>1</v>
      </c>
      <c r="J121" s="26" t="str">
        <f t="shared" si="2"/>
        <v>09 - septiembre</v>
      </c>
      <c r="K121" s="26" t="str">
        <f t="shared" si="3"/>
        <v>2026</v>
      </c>
    </row>
    <row r="122" ht="22.5" customHeight="1">
      <c r="A122" s="13">
        <v>46283.0</v>
      </c>
      <c r="B122" s="15" t="s">
        <v>101</v>
      </c>
      <c r="C122" s="16">
        <v>350000.0</v>
      </c>
      <c r="D122" s="17">
        <v>1.0</v>
      </c>
      <c r="E122" s="22">
        <f t="shared" si="1"/>
        <v>350000</v>
      </c>
      <c r="F122" s="15" t="s">
        <v>24</v>
      </c>
      <c r="H122" s="31"/>
      <c r="I122" s="25" t="b">
        <v>0</v>
      </c>
      <c r="J122" s="26" t="str">
        <f t="shared" si="2"/>
        <v>09 - septiembre</v>
      </c>
      <c r="K122" s="26" t="str">
        <f t="shared" si="3"/>
        <v>2026</v>
      </c>
    </row>
    <row r="123" ht="22.5" customHeight="1">
      <c r="A123" s="13">
        <v>46287.0</v>
      </c>
      <c r="B123" s="15" t="s">
        <v>193</v>
      </c>
      <c r="C123" s="16">
        <v>96913.33</v>
      </c>
      <c r="D123" s="17">
        <v>1.0</v>
      </c>
      <c r="E123" s="22">
        <f t="shared" si="1"/>
        <v>96913.33</v>
      </c>
      <c r="F123" s="15" t="s">
        <v>24</v>
      </c>
      <c r="G123" s="23" t="s">
        <v>26</v>
      </c>
      <c r="H123" s="31"/>
      <c r="I123" s="25" t="b">
        <v>1</v>
      </c>
      <c r="J123" s="26" t="str">
        <f t="shared" si="2"/>
        <v>09 - septiembre</v>
      </c>
      <c r="K123" s="26" t="str">
        <f t="shared" si="3"/>
        <v>2026</v>
      </c>
    </row>
    <row r="124" ht="22.5" customHeight="1">
      <c r="A124" s="13">
        <v>46288.0</v>
      </c>
      <c r="B124" s="15" t="s">
        <v>101</v>
      </c>
      <c r="C124" s="16">
        <v>350000.0</v>
      </c>
      <c r="D124" s="17">
        <v>1.0</v>
      </c>
      <c r="E124" s="22">
        <f t="shared" si="1"/>
        <v>350000</v>
      </c>
      <c r="F124" s="15" t="s">
        <v>24</v>
      </c>
      <c r="G124" s="23" t="s">
        <v>26</v>
      </c>
      <c r="H124" s="31"/>
      <c r="I124" s="25" t="b">
        <v>1</v>
      </c>
      <c r="J124" s="26" t="str">
        <f t="shared" si="2"/>
        <v>09 - septiembre</v>
      </c>
      <c r="K124" s="26" t="str">
        <f t="shared" si="3"/>
        <v>2026</v>
      </c>
    </row>
    <row r="125" ht="22.5" customHeight="1">
      <c r="A125" s="13">
        <v>46288.0</v>
      </c>
      <c r="B125" s="15" t="s">
        <v>83</v>
      </c>
      <c r="C125" s="16">
        <v>24000.0</v>
      </c>
      <c r="D125" s="17">
        <v>1.0</v>
      </c>
      <c r="E125" s="22">
        <f t="shared" si="1"/>
        <v>24000</v>
      </c>
      <c r="F125" s="15" t="s">
        <v>24</v>
      </c>
      <c r="G125" s="23" t="s">
        <v>26</v>
      </c>
      <c r="H125" s="31"/>
      <c r="I125" s="25" t="b">
        <v>1</v>
      </c>
      <c r="J125" s="26" t="str">
        <f t="shared" si="2"/>
        <v>09 - septiembre</v>
      </c>
      <c r="K125" s="26" t="str">
        <f t="shared" si="3"/>
        <v>2026</v>
      </c>
    </row>
    <row r="126" ht="22.5" customHeight="1">
      <c r="A126" s="13">
        <v>46287.0</v>
      </c>
      <c r="B126" s="116" t="s">
        <v>193</v>
      </c>
      <c r="C126" s="16">
        <v>96913.33</v>
      </c>
      <c r="D126" s="17">
        <v>1.0</v>
      </c>
      <c r="E126" s="22">
        <f t="shared" si="1"/>
        <v>96913.33</v>
      </c>
      <c r="F126" s="15" t="s">
        <v>24</v>
      </c>
      <c r="G126" s="23" t="s">
        <v>26</v>
      </c>
      <c r="H126" s="31"/>
      <c r="I126" s="25" t="b">
        <v>1</v>
      </c>
      <c r="J126" s="26" t="str">
        <f t="shared" si="2"/>
        <v>09 - septiembre</v>
      </c>
      <c r="K126" s="26" t="str">
        <f t="shared" si="3"/>
        <v>2026</v>
      </c>
    </row>
    <row r="127" ht="22.5" customHeight="1">
      <c r="A127" s="13">
        <v>46290.0</v>
      </c>
      <c r="B127" s="116" t="s">
        <v>65</v>
      </c>
      <c r="C127" s="16">
        <v>25000.0</v>
      </c>
      <c r="D127" s="17">
        <v>1.0</v>
      </c>
      <c r="E127" s="22">
        <f t="shared" si="1"/>
        <v>25000</v>
      </c>
      <c r="F127" s="15" t="s">
        <v>24</v>
      </c>
      <c r="G127" s="23" t="s">
        <v>26</v>
      </c>
      <c r="H127" s="31"/>
      <c r="I127" s="25" t="b">
        <v>1</v>
      </c>
      <c r="J127" s="26" t="str">
        <f t="shared" si="2"/>
        <v>09 - septiembre</v>
      </c>
      <c r="K127" s="26" t="str">
        <f t="shared" si="3"/>
        <v>2026</v>
      </c>
    </row>
    <row r="128" ht="22.5" customHeight="1">
      <c r="A128" s="13">
        <v>46290.0</v>
      </c>
      <c r="B128" s="116" t="s">
        <v>91</v>
      </c>
      <c r="C128" s="16">
        <v>110860.0</v>
      </c>
      <c r="D128" s="17">
        <v>1.0</v>
      </c>
      <c r="E128" s="22">
        <f t="shared" si="1"/>
        <v>110860</v>
      </c>
      <c r="F128" s="15" t="s">
        <v>24</v>
      </c>
      <c r="G128" s="23" t="s">
        <v>26</v>
      </c>
      <c r="H128" s="31"/>
      <c r="I128" s="25" t="b">
        <v>1</v>
      </c>
      <c r="J128" s="26" t="str">
        <f t="shared" si="2"/>
        <v>09 - septiembre</v>
      </c>
      <c r="K128" s="26" t="str">
        <f t="shared" si="3"/>
        <v>2026</v>
      </c>
    </row>
    <row r="129" ht="22.5" customHeight="1">
      <c r="A129" s="13">
        <v>46290.0</v>
      </c>
      <c r="B129" s="116" t="s">
        <v>126</v>
      </c>
      <c r="C129" s="16">
        <v>9000.0</v>
      </c>
      <c r="D129" s="17">
        <v>1.0</v>
      </c>
      <c r="E129" s="22">
        <f t="shared" si="1"/>
        <v>9000</v>
      </c>
      <c r="F129" s="15" t="s">
        <v>24</v>
      </c>
      <c r="G129" s="23" t="s">
        <v>26</v>
      </c>
      <c r="H129" s="31"/>
      <c r="I129" s="25" t="b">
        <v>1</v>
      </c>
      <c r="J129" s="26" t="str">
        <f t="shared" si="2"/>
        <v>09 - septiembre</v>
      </c>
      <c r="K129" s="26" t="str">
        <f t="shared" si="3"/>
        <v>2026</v>
      </c>
    </row>
    <row r="130" ht="22.5" customHeight="1">
      <c r="A130" s="13">
        <v>46290.0</v>
      </c>
      <c r="B130" s="116" t="s">
        <v>157</v>
      </c>
      <c r="C130" s="16">
        <v>1999.0</v>
      </c>
      <c r="D130" s="17">
        <v>1.0</v>
      </c>
      <c r="E130" s="22">
        <f t="shared" si="1"/>
        <v>1999</v>
      </c>
      <c r="F130" s="15" t="s">
        <v>24</v>
      </c>
      <c r="G130" s="23" t="s">
        <v>26</v>
      </c>
      <c r="H130" s="24" t="s">
        <v>323</v>
      </c>
      <c r="I130" s="25" t="b">
        <v>1</v>
      </c>
      <c r="J130" s="26" t="str">
        <f t="shared" si="2"/>
        <v>09 - septiembre</v>
      </c>
      <c r="K130" s="26" t="str">
        <f t="shared" si="3"/>
        <v>2026</v>
      </c>
    </row>
    <row r="131" ht="22.5" customHeight="1">
      <c r="A131" s="13">
        <v>46291.0</v>
      </c>
      <c r="B131" s="116" t="s">
        <v>44</v>
      </c>
      <c r="C131" s="16">
        <v>90000.0</v>
      </c>
      <c r="D131" s="17">
        <v>1.0</v>
      </c>
      <c r="E131" s="22">
        <f t="shared" si="1"/>
        <v>90000</v>
      </c>
      <c r="F131" s="15" t="s">
        <v>24</v>
      </c>
      <c r="G131" s="23" t="s">
        <v>26</v>
      </c>
      <c r="H131" s="31"/>
      <c r="I131" s="25" t="b">
        <v>1</v>
      </c>
      <c r="J131" s="26" t="str">
        <f t="shared" si="2"/>
        <v>09 - septiembre</v>
      </c>
      <c r="K131" s="26" t="str">
        <f t="shared" si="3"/>
        <v>2026</v>
      </c>
    </row>
    <row r="132" ht="22.5" customHeight="1">
      <c r="A132" s="13">
        <v>46291.0</v>
      </c>
      <c r="B132" s="116" t="s">
        <v>48</v>
      </c>
      <c r="C132" s="16">
        <v>90000.0</v>
      </c>
      <c r="D132" s="17">
        <v>1.0</v>
      </c>
      <c r="E132" s="22">
        <f t="shared" si="1"/>
        <v>90000</v>
      </c>
      <c r="F132" s="15" t="s">
        <v>24</v>
      </c>
      <c r="G132" s="23" t="s">
        <v>26</v>
      </c>
      <c r="H132" s="31"/>
      <c r="I132" s="25" t="b">
        <v>1</v>
      </c>
      <c r="J132" s="26" t="str">
        <f t="shared" si="2"/>
        <v>09 - septiembre</v>
      </c>
      <c r="K132" s="26" t="str">
        <f t="shared" si="3"/>
        <v>2026</v>
      </c>
    </row>
    <row r="133" ht="22.5" customHeight="1">
      <c r="A133" s="13">
        <v>46291.0</v>
      </c>
      <c r="B133" s="116" t="s">
        <v>60</v>
      </c>
      <c r="C133" s="16">
        <v>110000.0</v>
      </c>
      <c r="D133" s="17">
        <v>1.0</v>
      </c>
      <c r="E133" s="22">
        <f t="shared" si="1"/>
        <v>110000</v>
      </c>
      <c r="F133" s="15" t="s">
        <v>24</v>
      </c>
      <c r="G133" s="23" t="s">
        <v>26</v>
      </c>
      <c r="H133" s="31"/>
      <c r="I133" s="25" t="b">
        <v>1</v>
      </c>
      <c r="J133" s="26" t="str">
        <f t="shared" si="2"/>
        <v>09 - septiembre</v>
      </c>
      <c r="K133" s="26" t="str">
        <f t="shared" si="3"/>
        <v>2026</v>
      </c>
    </row>
    <row r="134" ht="22.5" customHeight="1">
      <c r="A134" s="13">
        <v>46291.0</v>
      </c>
      <c r="B134" s="116" t="s">
        <v>91</v>
      </c>
      <c r="C134" s="16">
        <v>5000.0</v>
      </c>
      <c r="D134" s="17">
        <v>1.0</v>
      </c>
      <c r="E134" s="22">
        <f t="shared" si="1"/>
        <v>5000</v>
      </c>
      <c r="F134" s="15" t="s">
        <v>24</v>
      </c>
      <c r="G134" s="23" t="s">
        <v>26</v>
      </c>
      <c r="H134" s="31"/>
      <c r="I134" s="25" t="b">
        <v>1</v>
      </c>
      <c r="J134" s="26" t="str">
        <f t="shared" si="2"/>
        <v>09 - septiembre</v>
      </c>
      <c r="K134" s="26" t="str">
        <f t="shared" si="3"/>
        <v>2026</v>
      </c>
    </row>
  </sheetData>
  <dataValidations>
    <dataValidation type="custom" allowBlank="1" showDropDown="1" sqref="A2:A134">
      <formula1>OR(NOT(ISERROR(DATEVALUE(A2))), AND(ISNUMBER(A2), LEFT(CELL("format", A2))="D"))</formula1>
    </dataValidation>
    <dataValidation type="list" allowBlank="1" sqref="B2:B134 F2:F134">
      <formula1>#REF!</formula1>
    </dataValidation>
    <dataValidation type="custom" allowBlank="1" showDropDown="1" sqref="C2:E134">
      <formula1>AND(ISNUMBER(C2),(NOT(OR(NOT(ISERROR(DATEVALUE(C2))), AND(ISNUMBER(C2), LEFT(CELL("format", C2))="D")))))</formula1>
    </dataValidation>
  </dataValidations>
  <hyperlinks>
    <hyperlink r:id="rId2" ref="G2"/>
    <hyperlink r:id="rId3" ref="G4"/>
    <hyperlink r:id="rId4" ref="G5"/>
    <hyperlink r:id="rId5" ref="G6"/>
    <hyperlink r:id="rId6" ref="G8"/>
    <hyperlink r:id="rId7" ref="G9"/>
    <hyperlink r:id="rId8" ref="G13"/>
    <hyperlink r:id="rId9" ref="G14"/>
    <hyperlink r:id="rId10" ref="G15"/>
    <hyperlink r:id="rId11" ref="G16"/>
    <hyperlink r:id="rId12" ref="G17"/>
    <hyperlink r:id="rId13" ref="G18"/>
    <hyperlink r:id="rId14" ref="G20"/>
    <hyperlink r:id="rId15" ref="G21"/>
    <hyperlink r:id="rId16" ref="G24"/>
    <hyperlink r:id="rId17" ref="G26"/>
    <hyperlink r:id="rId18" ref="G27"/>
    <hyperlink r:id="rId19" ref="G28"/>
    <hyperlink r:id="rId20" ref="G30"/>
    <hyperlink r:id="rId21" ref="G31"/>
    <hyperlink r:id="rId22" ref="G32"/>
    <hyperlink r:id="rId23" ref="G36"/>
    <hyperlink r:id="rId24" ref="G37"/>
    <hyperlink r:id="rId25" ref="G38"/>
    <hyperlink r:id="rId26" ref="G39"/>
    <hyperlink r:id="rId27" ref="G40"/>
    <hyperlink r:id="rId28" ref="G41"/>
    <hyperlink r:id="rId29" ref="G42"/>
    <hyperlink r:id="rId30" ref="G46"/>
    <hyperlink r:id="rId31" ref="G47"/>
    <hyperlink r:id="rId32" ref="G48"/>
    <hyperlink r:id="rId33" ref="G49"/>
    <hyperlink r:id="rId34" ref="G50"/>
    <hyperlink r:id="rId35" ref="G51"/>
    <hyperlink r:id="rId36" ref="G52"/>
    <hyperlink r:id="rId37" ref="G54"/>
    <hyperlink r:id="rId38" ref="G56"/>
    <hyperlink r:id="rId39" ref="G57"/>
    <hyperlink r:id="rId40" ref="G58"/>
    <hyperlink r:id="rId41" ref="G60"/>
    <hyperlink r:id="rId42" ref="G61"/>
    <hyperlink r:id="rId43" ref="G63"/>
    <hyperlink r:id="rId44" ref="G64"/>
    <hyperlink r:id="rId45" ref="G66"/>
    <hyperlink r:id="rId46" ref="G68"/>
    <hyperlink r:id="rId47" ref="G69"/>
    <hyperlink r:id="rId48" ref="G70"/>
    <hyperlink r:id="rId49" ref="G71"/>
    <hyperlink r:id="rId50" ref="G72"/>
    <hyperlink r:id="rId51" ref="G74"/>
    <hyperlink r:id="rId52" ref="G75"/>
    <hyperlink r:id="rId53" ref="G76"/>
    <hyperlink r:id="rId54" ref="G77"/>
    <hyperlink r:id="rId55" ref="G78"/>
    <hyperlink r:id="rId56" ref="G80"/>
    <hyperlink r:id="rId57" ref="G81"/>
    <hyperlink r:id="rId58" ref="G82"/>
    <hyperlink r:id="rId59" ref="G84"/>
    <hyperlink r:id="rId60" ref="G85"/>
    <hyperlink r:id="rId61" ref="G86"/>
    <hyperlink r:id="rId62" ref="G87"/>
    <hyperlink r:id="rId63" ref="G88"/>
    <hyperlink r:id="rId64" ref="G89"/>
    <hyperlink r:id="rId65" ref="G90"/>
    <hyperlink r:id="rId66" ref="G91"/>
    <hyperlink r:id="rId67" ref="G92"/>
    <hyperlink r:id="rId68" ref="G93"/>
    <hyperlink r:id="rId69" ref="G94"/>
    <hyperlink r:id="rId70" ref="G95"/>
    <hyperlink r:id="rId71" ref="G96"/>
    <hyperlink r:id="rId72" ref="G97"/>
    <hyperlink r:id="rId73" ref="G98"/>
    <hyperlink r:id="rId74" ref="G99"/>
    <hyperlink r:id="rId75" ref="G100"/>
    <hyperlink r:id="rId76" ref="G101"/>
    <hyperlink r:id="rId77" ref="G102"/>
    <hyperlink r:id="rId78" ref="G103"/>
    <hyperlink r:id="rId79" ref="G104"/>
    <hyperlink r:id="rId80" ref="G105"/>
    <hyperlink r:id="rId81" ref="G106"/>
    <hyperlink r:id="rId82" ref="G107"/>
    <hyperlink r:id="rId83" ref="G108"/>
    <hyperlink r:id="rId84" ref="G109"/>
    <hyperlink r:id="rId85" ref="G110"/>
    <hyperlink r:id="rId86" ref="G111"/>
    <hyperlink r:id="rId87" ref="G112"/>
    <hyperlink r:id="rId88" ref="G113"/>
    <hyperlink r:id="rId89" ref="G114"/>
    <hyperlink r:id="rId90" ref="G115"/>
    <hyperlink r:id="rId91" ref="G117"/>
    <hyperlink r:id="rId92" ref="G118"/>
    <hyperlink r:id="rId93" ref="G119"/>
    <hyperlink r:id="rId94" ref="G120"/>
    <hyperlink r:id="rId95" ref="G121"/>
    <hyperlink r:id="rId96" ref="G123"/>
    <hyperlink r:id="rId97" ref="G124"/>
    <hyperlink r:id="rId98" ref="G125"/>
    <hyperlink r:id="rId99" ref="G126"/>
    <hyperlink r:id="rId100" ref="G127"/>
    <hyperlink r:id="rId101" ref="G128"/>
    <hyperlink r:id="rId102" ref="G129"/>
    <hyperlink r:id="rId103" ref="G130"/>
    <hyperlink r:id="rId104" ref="G131"/>
    <hyperlink r:id="rId105" ref="G132"/>
    <hyperlink r:id="rId106" ref="G133"/>
    <hyperlink r:id="rId107" ref="G134"/>
  </hyperlinks>
  <drawing r:id="rId108"/>
  <tableParts count="1">
    <tablePart r:id="rId1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29"/>
    <col customWidth="1" min="3" max="3" width="16.71"/>
    <col customWidth="1" min="4" max="4" width="15.14"/>
    <col customWidth="1" min="5" max="5" width="20.0"/>
    <col customWidth="1" min="6" max="6" width="29.71"/>
    <col customWidth="1" min="7" max="7" width="19.14"/>
    <col customWidth="1" min="8" max="8" width="15.86"/>
    <col customWidth="1" min="9" max="9" width="22.29"/>
    <col customWidth="1" min="10" max="10" width="15.71"/>
    <col customWidth="1" min="11" max="11" width="13.43"/>
    <col customWidth="1" min="12" max="12" width="40.43"/>
  </cols>
  <sheetData>
    <row r="1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</row>
    <row r="2" ht="22.5" customHeight="1">
      <c r="A2" s="60" t="s">
        <v>52</v>
      </c>
      <c r="B2" s="60" t="s">
        <v>51</v>
      </c>
      <c r="C2" s="60" t="s">
        <v>2</v>
      </c>
      <c r="D2" s="60" t="s">
        <v>0</v>
      </c>
      <c r="E2" s="61" t="s">
        <v>194</v>
      </c>
      <c r="F2" s="60" t="s">
        <v>6</v>
      </c>
      <c r="G2" s="61" t="s">
        <v>195</v>
      </c>
      <c r="H2" s="60" t="s">
        <v>63</v>
      </c>
      <c r="I2" s="60" t="s">
        <v>196</v>
      </c>
      <c r="J2" s="60" t="s">
        <v>11</v>
      </c>
      <c r="K2" s="60" t="s">
        <v>12</v>
      </c>
      <c r="L2" s="60" t="s">
        <v>197</v>
      </c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</row>
    <row r="3" ht="22.5" hidden="1" customHeight="1">
      <c r="A3" s="62" t="s">
        <v>154</v>
      </c>
      <c r="B3" s="63" t="s">
        <v>147</v>
      </c>
      <c r="C3" s="64">
        <v>20000.0</v>
      </c>
      <c r="D3" s="65">
        <v>46054.0</v>
      </c>
      <c r="E3" s="65">
        <v>46064.0</v>
      </c>
      <c r="F3" s="66" t="s">
        <v>198</v>
      </c>
      <c r="G3" s="67" t="s">
        <v>199</v>
      </c>
      <c r="H3" s="67" t="s">
        <v>69</v>
      </c>
      <c r="I3" s="68" t="s">
        <v>200</v>
      </c>
      <c r="J3" s="66" t="str">
        <f t="shared" ref="J3:J806" si="1">CONCATENATE(TEXT(D3,"MM")," - ", TEXT(D3,"MMMM"))</f>
        <v>02 - febrero</v>
      </c>
      <c r="K3" s="66" t="str">
        <f t="shared" ref="K3:K806" si="2">TEXT(D3,"YYYY")</f>
        <v>2026</v>
      </c>
      <c r="L3" s="6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</row>
    <row r="4" ht="22.5" hidden="1" customHeight="1">
      <c r="A4" s="70" t="s">
        <v>150</v>
      </c>
      <c r="B4" s="63" t="s">
        <v>147</v>
      </c>
      <c r="C4" s="71">
        <v>20000.0</v>
      </c>
      <c r="D4" s="72">
        <v>46054.0</v>
      </c>
      <c r="E4" s="72">
        <v>46069.0</v>
      </c>
      <c r="F4" s="73" t="s">
        <v>203</v>
      </c>
      <c r="G4" s="75" t="s">
        <v>199</v>
      </c>
      <c r="H4" s="75" t="s">
        <v>69</v>
      </c>
      <c r="I4" s="77" t="s">
        <v>200</v>
      </c>
      <c r="J4" s="73" t="str">
        <f t="shared" si="1"/>
        <v>02 - febrero</v>
      </c>
      <c r="K4" s="73" t="str">
        <f t="shared" si="2"/>
        <v>2026</v>
      </c>
      <c r="L4" s="80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</row>
    <row r="5" ht="22.5" hidden="1" customHeight="1">
      <c r="A5" s="62" t="s">
        <v>159</v>
      </c>
      <c r="B5" s="63" t="s">
        <v>147</v>
      </c>
      <c r="C5" s="64">
        <v>20000.0</v>
      </c>
      <c r="D5" s="65">
        <v>46054.0</v>
      </c>
      <c r="E5" s="65">
        <v>46063.0</v>
      </c>
      <c r="F5" s="66" t="s">
        <v>205</v>
      </c>
      <c r="G5" s="67" t="s">
        <v>199</v>
      </c>
      <c r="H5" s="67" t="s">
        <v>69</v>
      </c>
      <c r="I5" s="68" t="s">
        <v>200</v>
      </c>
      <c r="J5" s="66" t="str">
        <f t="shared" si="1"/>
        <v>02 - febrero</v>
      </c>
      <c r="K5" s="66" t="str">
        <f t="shared" si="2"/>
        <v>2026</v>
      </c>
      <c r="L5" s="6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</row>
    <row r="6" ht="22.5" hidden="1" customHeight="1">
      <c r="A6" s="70" t="s">
        <v>156</v>
      </c>
      <c r="B6" s="63" t="s">
        <v>147</v>
      </c>
      <c r="C6" s="71">
        <v>20000.0</v>
      </c>
      <c r="D6" s="72">
        <v>46054.0</v>
      </c>
      <c r="E6" s="83"/>
      <c r="F6" s="84"/>
      <c r="G6" s="85" t="s">
        <v>206</v>
      </c>
      <c r="H6" s="75" t="s">
        <v>69</v>
      </c>
      <c r="I6" s="77" t="s">
        <v>200</v>
      </c>
      <c r="J6" s="73" t="str">
        <f t="shared" si="1"/>
        <v>02 - febrero</v>
      </c>
      <c r="K6" s="73" t="str">
        <f t="shared" si="2"/>
        <v>2026</v>
      </c>
      <c r="L6" s="80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ht="22.5" hidden="1" customHeight="1">
      <c r="A7" s="62" t="s">
        <v>152</v>
      </c>
      <c r="B7" s="63" t="s">
        <v>147</v>
      </c>
      <c r="C7" s="64">
        <v>20000.0</v>
      </c>
      <c r="D7" s="65">
        <v>46054.0</v>
      </c>
      <c r="E7" s="86"/>
      <c r="F7" s="87"/>
      <c r="G7" s="78" t="s">
        <v>208</v>
      </c>
      <c r="H7" s="67" t="s">
        <v>69</v>
      </c>
      <c r="I7" s="68" t="s">
        <v>200</v>
      </c>
      <c r="J7" s="66" t="str">
        <f t="shared" si="1"/>
        <v>02 - febrero</v>
      </c>
      <c r="K7" s="66" t="str">
        <f t="shared" si="2"/>
        <v>2026</v>
      </c>
      <c r="L7" s="6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</row>
    <row r="8" ht="22.5" hidden="1" customHeight="1">
      <c r="A8" s="70" t="s">
        <v>162</v>
      </c>
      <c r="B8" s="63" t="s">
        <v>147</v>
      </c>
      <c r="C8" s="71">
        <v>20000.0</v>
      </c>
      <c r="D8" s="72">
        <v>46054.0</v>
      </c>
      <c r="E8" s="72">
        <v>46063.0</v>
      </c>
      <c r="F8" s="73" t="s">
        <v>209</v>
      </c>
      <c r="G8" s="75" t="s">
        <v>199</v>
      </c>
      <c r="H8" s="75" t="s">
        <v>69</v>
      </c>
      <c r="I8" s="77" t="s">
        <v>200</v>
      </c>
      <c r="J8" s="73" t="str">
        <f t="shared" si="1"/>
        <v>02 - febrero</v>
      </c>
      <c r="K8" s="73" t="str">
        <f t="shared" si="2"/>
        <v>2026</v>
      </c>
      <c r="L8" s="80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</row>
    <row r="9" ht="22.5" hidden="1" customHeight="1">
      <c r="A9" s="62" t="s">
        <v>151</v>
      </c>
      <c r="B9" s="63" t="s">
        <v>147</v>
      </c>
      <c r="C9" s="64">
        <v>20000.0</v>
      </c>
      <c r="D9" s="65">
        <v>46054.0</v>
      </c>
      <c r="E9" s="65">
        <v>46086.0</v>
      </c>
      <c r="F9" s="66" t="s">
        <v>211</v>
      </c>
      <c r="G9" s="67" t="s">
        <v>199</v>
      </c>
      <c r="H9" s="67" t="s">
        <v>69</v>
      </c>
      <c r="I9" s="68" t="s">
        <v>200</v>
      </c>
      <c r="J9" s="66" t="str">
        <f t="shared" si="1"/>
        <v>02 - febrero</v>
      </c>
      <c r="K9" s="66" t="str">
        <f t="shared" si="2"/>
        <v>2026</v>
      </c>
      <c r="L9" s="6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ht="22.5" hidden="1" customHeight="1">
      <c r="A10" s="70" t="s">
        <v>155</v>
      </c>
      <c r="B10" s="63" t="s">
        <v>147</v>
      </c>
      <c r="C10" s="90"/>
      <c r="D10" s="72">
        <v>46054.0</v>
      </c>
      <c r="E10" s="83"/>
      <c r="F10" s="84"/>
      <c r="G10" s="91"/>
      <c r="H10" s="85" t="s">
        <v>68</v>
      </c>
      <c r="I10" s="77" t="s">
        <v>200</v>
      </c>
      <c r="J10" s="73" t="str">
        <f t="shared" si="1"/>
        <v>02 - febrero</v>
      </c>
      <c r="K10" s="73" t="str">
        <f t="shared" si="2"/>
        <v>2026</v>
      </c>
      <c r="L10" s="92" t="s">
        <v>212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ht="22.5" hidden="1" customHeight="1">
      <c r="A11" s="62" t="s">
        <v>148</v>
      </c>
      <c r="B11" s="63" t="s">
        <v>147</v>
      </c>
      <c r="C11" s="93"/>
      <c r="D11" s="65">
        <v>46054.0</v>
      </c>
      <c r="E11" s="86"/>
      <c r="F11" s="87"/>
      <c r="G11" s="95"/>
      <c r="H11" s="96" t="s">
        <v>68</v>
      </c>
      <c r="I11" s="68" t="s">
        <v>200</v>
      </c>
      <c r="J11" s="66" t="str">
        <f t="shared" si="1"/>
        <v>02 - febrero</v>
      </c>
      <c r="K11" s="66" t="str">
        <f t="shared" si="2"/>
        <v>2026</v>
      </c>
      <c r="L11" s="99" t="s">
        <v>212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ht="22.5" hidden="1" customHeight="1">
      <c r="A12" s="70" t="s">
        <v>161</v>
      </c>
      <c r="B12" s="63" t="s">
        <v>147</v>
      </c>
      <c r="C12" s="71">
        <v>20000.0</v>
      </c>
      <c r="D12" s="72">
        <v>46054.0</v>
      </c>
      <c r="E12" s="72">
        <v>46059.0</v>
      </c>
      <c r="F12" s="73" t="s">
        <v>217</v>
      </c>
      <c r="G12" s="75" t="s">
        <v>218</v>
      </c>
      <c r="H12" s="75" t="s">
        <v>69</v>
      </c>
      <c r="I12" s="77" t="s">
        <v>200</v>
      </c>
      <c r="J12" s="73" t="str">
        <f t="shared" si="1"/>
        <v>02 - febrero</v>
      </c>
      <c r="K12" s="73" t="str">
        <f t="shared" si="2"/>
        <v>2026</v>
      </c>
      <c r="L12" s="80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ht="22.5" hidden="1" customHeight="1">
      <c r="A13" s="62" t="s">
        <v>160</v>
      </c>
      <c r="B13" s="63" t="s">
        <v>147</v>
      </c>
      <c r="C13" s="93"/>
      <c r="D13" s="65">
        <v>46054.0</v>
      </c>
      <c r="E13" s="86"/>
      <c r="F13" s="87"/>
      <c r="G13" s="95"/>
      <c r="H13" s="96" t="s">
        <v>68</v>
      </c>
      <c r="I13" s="68" t="s">
        <v>200</v>
      </c>
      <c r="J13" s="66" t="str">
        <f t="shared" si="1"/>
        <v>02 - febrero</v>
      </c>
      <c r="K13" s="66" t="str">
        <f t="shared" si="2"/>
        <v>2026</v>
      </c>
      <c r="L13" s="99" t="s">
        <v>212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ht="22.5" hidden="1" customHeight="1">
      <c r="A14" s="70" t="s">
        <v>153</v>
      </c>
      <c r="B14" s="63" t="s">
        <v>147</v>
      </c>
      <c r="C14" s="90"/>
      <c r="D14" s="72">
        <v>46054.0</v>
      </c>
      <c r="E14" s="83"/>
      <c r="F14" s="84"/>
      <c r="G14" s="91"/>
      <c r="H14" s="85" t="s">
        <v>68</v>
      </c>
      <c r="I14" s="77" t="s">
        <v>200</v>
      </c>
      <c r="J14" s="73" t="str">
        <f t="shared" si="1"/>
        <v>02 - febrero</v>
      </c>
      <c r="K14" s="73" t="str">
        <f t="shared" si="2"/>
        <v>2026</v>
      </c>
      <c r="L14" s="92" t="s">
        <v>212</v>
      </c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ht="22.5" hidden="1" customHeight="1">
      <c r="A15" s="62" t="s">
        <v>163</v>
      </c>
      <c r="B15" s="63" t="s">
        <v>147</v>
      </c>
      <c r="C15" s="93"/>
      <c r="D15" s="65">
        <v>46054.0</v>
      </c>
      <c r="E15" s="86"/>
      <c r="F15" s="87"/>
      <c r="G15" s="95"/>
      <c r="H15" s="96" t="s">
        <v>68</v>
      </c>
      <c r="I15" s="68" t="s">
        <v>200</v>
      </c>
      <c r="J15" s="66" t="str">
        <f t="shared" si="1"/>
        <v>02 - febrero</v>
      </c>
      <c r="K15" s="66" t="str">
        <f t="shared" si="2"/>
        <v>2026</v>
      </c>
      <c r="L15" s="99" t="s">
        <v>212</v>
      </c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ht="22.5" hidden="1" customHeight="1">
      <c r="A16" s="70" t="s">
        <v>154</v>
      </c>
      <c r="B16" s="63" t="s">
        <v>147</v>
      </c>
      <c r="C16" s="71">
        <v>25000.0</v>
      </c>
      <c r="D16" s="72">
        <v>46082.0</v>
      </c>
      <c r="E16" s="72">
        <v>46098.0</v>
      </c>
      <c r="F16" s="73" t="s">
        <v>219</v>
      </c>
      <c r="G16" s="75" t="s">
        <v>199</v>
      </c>
      <c r="H16" s="75" t="s">
        <v>69</v>
      </c>
      <c r="I16" s="77" t="s">
        <v>200</v>
      </c>
      <c r="J16" s="73" t="str">
        <f t="shared" si="1"/>
        <v>03 - marzo</v>
      </c>
      <c r="K16" s="73" t="str">
        <f t="shared" si="2"/>
        <v>2026</v>
      </c>
      <c r="L16" s="80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</row>
    <row r="17" ht="22.5" hidden="1" customHeight="1">
      <c r="A17" s="62" t="s">
        <v>150</v>
      </c>
      <c r="B17" s="63" t="s">
        <v>147</v>
      </c>
      <c r="C17" s="64">
        <v>25000.0</v>
      </c>
      <c r="D17" s="65">
        <v>46082.0</v>
      </c>
      <c r="E17" s="65">
        <v>46090.0</v>
      </c>
      <c r="F17" s="66" t="s">
        <v>220</v>
      </c>
      <c r="G17" s="96" t="s">
        <v>206</v>
      </c>
      <c r="H17" s="67" t="s">
        <v>69</v>
      </c>
      <c r="I17" s="68" t="s">
        <v>200</v>
      </c>
      <c r="J17" s="66" t="str">
        <f t="shared" si="1"/>
        <v>03 - marzo</v>
      </c>
      <c r="K17" s="66" t="str">
        <f t="shared" si="2"/>
        <v>2026</v>
      </c>
      <c r="L17" s="6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</row>
    <row r="18" ht="22.5" hidden="1" customHeight="1">
      <c r="A18" s="70" t="s">
        <v>159</v>
      </c>
      <c r="B18" s="63" t="s">
        <v>147</v>
      </c>
      <c r="C18" s="71">
        <v>25000.0</v>
      </c>
      <c r="D18" s="72">
        <v>46082.0</v>
      </c>
      <c r="E18" s="72">
        <v>46093.0</v>
      </c>
      <c r="F18" s="73" t="s">
        <v>221</v>
      </c>
      <c r="G18" s="85" t="s">
        <v>206</v>
      </c>
      <c r="H18" s="75" t="s">
        <v>69</v>
      </c>
      <c r="I18" s="77" t="s">
        <v>200</v>
      </c>
      <c r="J18" s="73" t="str">
        <f t="shared" si="1"/>
        <v>03 - marzo</v>
      </c>
      <c r="K18" s="73" t="str">
        <f t="shared" si="2"/>
        <v>2026</v>
      </c>
      <c r="L18" s="80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</row>
    <row r="19" ht="22.5" hidden="1" customHeight="1">
      <c r="A19" s="62" t="s">
        <v>156</v>
      </c>
      <c r="B19" s="63" t="s">
        <v>147</v>
      </c>
      <c r="C19" s="64">
        <v>25000.0</v>
      </c>
      <c r="D19" s="65">
        <v>46082.0</v>
      </c>
      <c r="E19" s="65">
        <v>46083.0</v>
      </c>
      <c r="F19" s="87"/>
      <c r="G19" s="115" t="s">
        <v>222</v>
      </c>
      <c r="H19" s="67" t="s">
        <v>69</v>
      </c>
      <c r="I19" s="68" t="s">
        <v>200</v>
      </c>
      <c r="J19" s="66" t="str">
        <f t="shared" si="1"/>
        <v>03 - marzo</v>
      </c>
      <c r="K19" s="66" t="str">
        <f t="shared" si="2"/>
        <v>2026</v>
      </c>
      <c r="L19" s="6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</row>
    <row r="20" ht="22.5" hidden="1" customHeight="1">
      <c r="A20" s="70" t="s">
        <v>152</v>
      </c>
      <c r="B20" s="63" t="s">
        <v>147</v>
      </c>
      <c r="C20" s="71">
        <v>25000.0</v>
      </c>
      <c r="D20" s="72">
        <v>46082.0</v>
      </c>
      <c r="E20" s="72">
        <v>46086.0</v>
      </c>
      <c r="F20" s="73" t="s">
        <v>223</v>
      </c>
      <c r="G20" s="85" t="s">
        <v>206</v>
      </c>
      <c r="H20" s="75" t="s">
        <v>69</v>
      </c>
      <c r="I20" s="77" t="s">
        <v>200</v>
      </c>
      <c r="J20" s="73" t="str">
        <f t="shared" si="1"/>
        <v>03 - marzo</v>
      </c>
      <c r="K20" s="73" t="str">
        <f t="shared" si="2"/>
        <v>2026</v>
      </c>
      <c r="L20" s="80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</row>
    <row r="21" ht="22.5" hidden="1" customHeight="1">
      <c r="A21" s="62" t="s">
        <v>162</v>
      </c>
      <c r="B21" s="63" t="s">
        <v>147</v>
      </c>
      <c r="C21" s="64">
        <v>25000.0</v>
      </c>
      <c r="D21" s="65">
        <v>46082.0</v>
      </c>
      <c r="E21" s="65">
        <v>46098.0</v>
      </c>
      <c r="F21" s="66" t="s">
        <v>224</v>
      </c>
      <c r="G21" s="67" t="s">
        <v>199</v>
      </c>
      <c r="H21" s="67" t="s">
        <v>69</v>
      </c>
      <c r="I21" s="68" t="s">
        <v>200</v>
      </c>
      <c r="J21" s="66" t="str">
        <f t="shared" si="1"/>
        <v>03 - marzo</v>
      </c>
      <c r="K21" s="66" t="str">
        <f t="shared" si="2"/>
        <v>2026</v>
      </c>
      <c r="L21" s="6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ht="22.5" hidden="1" customHeight="1">
      <c r="A22" s="70" t="s">
        <v>151</v>
      </c>
      <c r="B22" s="63" t="s">
        <v>147</v>
      </c>
      <c r="C22" s="71">
        <v>25000.0</v>
      </c>
      <c r="D22" s="72">
        <v>46082.0</v>
      </c>
      <c r="E22" s="72">
        <v>46086.0</v>
      </c>
      <c r="F22" s="73" t="s">
        <v>211</v>
      </c>
      <c r="G22" s="85" t="s">
        <v>206</v>
      </c>
      <c r="H22" s="75" t="s">
        <v>69</v>
      </c>
      <c r="I22" s="77" t="s">
        <v>200</v>
      </c>
      <c r="J22" s="73" t="str">
        <f t="shared" si="1"/>
        <v>03 - marzo</v>
      </c>
      <c r="K22" s="73" t="str">
        <f t="shared" si="2"/>
        <v>2026</v>
      </c>
      <c r="L22" s="80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ht="22.5" hidden="1" customHeight="1">
      <c r="A23" s="62" t="s">
        <v>155</v>
      </c>
      <c r="B23" s="63" t="s">
        <v>147</v>
      </c>
      <c r="C23" s="64">
        <v>25000.0</v>
      </c>
      <c r="D23" s="65">
        <v>46082.0</v>
      </c>
      <c r="E23" s="65">
        <v>46083.0</v>
      </c>
      <c r="F23" s="66" t="s">
        <v>225</v>
      </c>
      <c r="G23" s="67" t="s">
        <v>199</v>
      </c>
      <c r="H23" s="67" t="s">
        <v>69</v>
      </c>
      <c r="I23" s="68" t="s">
        <v>200</v>
      </c>
      <c r="J23" s="66" t="str">
        <f t="shared" si="1"/>
        <v>03 - marzo</v>
      </c>
      <c r="K23" s="66" t="str">
        <f t="shared" si="2"/>
        <v>2026</v>
      </c>
      <c r="L23" s="6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</row>
    <row r="24" ht="22.5" hidden="1" customHeight="1">
      <c r="A24" s="70" t="s">
        <v>148</v>
      </c>
      <c r="B24" s="63" t="s">
        <v>147</v>
      </c>
      <c r="C24" s="71">
        <v>25000.0</v>
      </c>
      <c r="D24" s="72">
        <v>46082.0</v>
      </c>
      <c r="E24" s="72">
        <v>46084.0</v>
      </c>
      <c r="F24" s="84"/>
      <c r="G24" s="85" t="s">
        <v>226</v>
      </c>
      <c r="H24" s="75" t="s">
        <v>69</v>
      </c>
      <c r="I24" s="77" t="s">
        <v>200</v>
      </c>
      <c r="J24" s="73" t="str">
        <f t="shared" si="1"/>
        <v>03 - marzo</v>
      </c>
      <c r="K24" s="73" t="str">
        <f t="shared" si="2"/>
        <v>2026</v>
      </c>
      <c r="L24" s="80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</row>
    <row r="25" ht="22.5" hidden="1" customHeight="1">
      <c r="A25" s="62" t="s">
        <v>161</v>
      </c>
      <c r="B25" s="63" t="s">
        <v>147</v>
      </c>
      <c r="C25" s="64">
        <v>25000.0</v>
      </c>
      <c r="D25" s="65">
        <v>46082.0</v>
      </c>
      <c r="E25" s="65">
        <v>46089.0</v>
      </c>
      <c r="F25" s="87"/>
      <c r="G25" s="67" t="s">
        <v>218</v>
      </c>
      <c r="H25" s="67" t="s">
        <v>69</v>
      </c>
      <c r="I25" s="68" t="s">
        <v>200</v>
      </c>
      <c r="J25" s="66" t="str">
        <f t="shared" si="1"/>
        <v>03 - marzo</v>
      </c>
      <c r="K25" s="66" t="str">
        <f t="shared" si="2"/>
        <v>2026</v>
      </c>
      <c r="L25" s="6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</row>
    <row r="26" ht="22.5" hidden="1" customHeight="1">
      <c r="A26" s="70" t="s">
        <v>160</v>
      </c>
      <c r="B26" s="63" t="s">
        <v>147</v>
      </c>
      <c r="C26" s="90"/>
      <c r="D26" s="72">
        <v>46082.0</v>
      </c>
      <c r="E26" s="83"/>
      <c r="F26" s="84"/>
      <c r="G26" s="91"/>
      <c r="H26" s="85" t="s">
        <v>68</v>
      </c>
      <c r="I26" s="77" t="s">
        <v>200</v>
      </c>
      <c r="J26" s="73" t="str">
        <f t="shared" si="1"/>
        <v>03 - marzo</v>
      </c>
      <c r="K26" s="73" t="str">
        <f t="shared" si="2"/>
        <v>2026</v>
      </c>
      <c r="L26" s="80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</row>
    <row r="27" ht="22.5" hidden="1" customHeight="1">
      <c r="A27" s="62" t="s">
        <v>153</v>
      </c>
      <c r="B27" s="63" t="s">
        <v>147</v>
      </c>
      <c r="C27" s="64">
        <v>25000.0</v>
      </c>
      <c r="D27" s="65">
        <v>46082.0</v>
      </c>
      <c r="E27" s="65">
        <v>46098.0</v>
      </c>
      <c r="F27" s="66" t="s">
        <v>227</v>
      </c>
      <c r="G27" s="67" t="s">
        <v>218</v>
      </c>
      <c r="H27" s="67" t="s">
        <v>69</v>
      </c>
      <c r="I27" s="68" t="s">
        <v>200</v>
      </c>
      <c r="J27" s="66" t="str">
        <f t="shared" si="1"/>
        <v>03 - marzo</v>
      </c>
      <c r="K27" s="66" t="str">
        <f t="shared" si="2"/>
        <v>2026</v>
      </c>
      <c r="L27" s="6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</row>
    <row r="28" ht="22.5" hidden="1" customHeight="1">
      <c r="A28" s="70" t="s">
        <v>163</v>
      </c>
      <c r="B28" s="63" t="s">
        <v>147</v>
      </c>
      <c r="C28" s="71">
        <v>25000.0</v>
      </c>
      <c r="D28" s="72">
        <v>46082.0</v>
      </c>
      <c r="E28" s="72">
        <v>46098.0</v>
      </c>
      <c r="F28" s="73" t="s">
        <v>228</v>
      </c>
      <c r="G28" s="75" t="s">
        <v>199</v>
      </c>
      <c r="H28" s="75" t="s">
        <v>69</v>
      </c>
      <c r="I28" s="77" t="s">
        <v>200</v>
      </c>
      <c r="J28" s="73" t="str">
        <f t="shared" si="1"/>
        <v>03 - marzo</v>
      </c>
      <c r="K28" s="73" t="str">
        <f t="shared" si="2"/>
        <v>2026</v>
      </c>
      <c r="L28" s="80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</row>
    <row r="29" ht="22.5" hidden="1" customHeight="1">
      <c r="A29" s="62" t="s">
        <v>154</v>
      </c>
      <c r="B29" s="63" t="s">
        <v>147</v>
      </c>
      <c r="C29" s="64">
        <v>25000.0</v>
      </c>
      <c r="D29" s="65">
        <v>46113.0</v>
      </c>
      <c r="E29" s="65">
        <v>46118.0</v>
      </c>
      <c r="F29" s="66" t="s">
        <v>229</v>
      </c>
      <c r="G29" s="67" t="s">
        <v>199</v>
      </c>
      <c r="H29" s="67" t="s">
        <v>69</v>
      </c>
      <c r="I29" s="68" t="s">
        <v>200</v>
      </c>
      <c r="J29" s="66" t="str">
        <f t="shared" si="1"/>
        <v>04 - abril</v>
      </c>
      <c r="K29" s="66" t="str">
        <f t="shared" si="2"/>
        <v>2026</v>
      </c>
      <c r="L29" s="6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ht="22.5" hidden="1" customHeight="1">
      <c r="A30" s="70" t="s">
        <v>150</v>
      </c>
      <c r="B30" s="63" t="s">
        <v>147</v>
      </c>
      <c r="C30" s="71">
        <v>25000.0</v>
      </c>
      <c r="D30" s="72">
        <v>46113.0</v>
      </c>
      <c r="E30" s="72">
        <v>46126.0</v>
      </c>
      <c r="F30" s="73" t="s">
        <v>230</v>
      </c>
      <c r="G30" s="75" t="s">
        <v>199</v>
      </c>
      <c r="H30" s="75" t="s">
        <v>69</v>
      </c>
      <c r="I30" s="77" t="s">
        <v>200</v>
      </c>
      <c r="J30" s="73" t="str">
        <f t="shared" si="1"/>
        <v>04 - abril</v>
      </c>
      <c r="K30" s="73" t="str">
        <f t="shared" si="2"/>
        <v>2026</v>
      </c>
      <c r="L30" s="80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</row>
    <row r="31" ht="22.5" hidden="1" customHeight="1">
      <c r="A31" s="62" t="s">
        <v>159</v>
      </c>
      <c r="B31" s="63" t="s">
        <v>147</v>
      </c>
      <c r="C31" s="64">
        <v>25000.0</v>
      </c>
      <c r="D31" s="65">
        <v>46113.0</v>
      </c>
      <c r="E31" s="65">
        <v>46119.0</v>
      </c>
      <c r="F31" s="66" t="s">
        <v>231</v>
      </c>
      <c r="G31" s="67" t="s">
        <v>199</v>
      </c>
      <c r="H31" s="67" t="s">
        <v>69</v>
      </c>
      <c r="I31" s="68" t="s">
        <v>200</v>
      </c>
      <c r="J31" s="66" t="str">
        <f t="shared" si="1"/>
        <v>04 - abril</v>
      </c>
      <c r="K31" s="66" t="str">
        <f t="shared" si="2"/>
        <v>2026</v>
      </c>
      <c r="L31" s="6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</row>
    <row r="32" ht="22.5" hidden="1" customHeight="1">
      <c r="A32" s="70" t="s">
        <v>156</v>
      </c>
      <c r="B32" s="63" t="s">
        <v>147</v>
      </c>
      <c r="C32" s="71">
        <v>25000.0</v>
      </c>
      <c r="D32" s="72">
        <v>46113.0</v>
      </c>
      <c r="E32" s="72">
        <v>46113.0</v>
      </c>
      <c r="F32" s="73" t="s">
        <v>232</v>
      </c>
      <c r="G32" s="75" t="s">
        <v>199</v>
      </c>
      <c r="H32" s="75" t="s">
        <v>69</v>
      </c>
      <c r="I32" s="77" t="s">
        <v>200</v>
      </c>
      <c r="J32" s="73" t="str">
        <f t="shared" si="1"/>
        <v>04 - abril</v>
      </c>
      <c r="K32" s="73" t="str">
        <f t="shared" si="2"/>
        <v>2026</v>
      </c>
      <c r="L32" s="80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</row>
    <row r="33" ht="22.5" hidden="1" customHeight="1">
      <c r="A33" s="62" t="s">
        <v>152</v>
      </c>
      <c r="B33" s="63" t="s">
        <v>147</v>
      </c>
      <c r="C33" s="64">
        <v>25000.0</v>
      </c>
      <c r="D33" s="65">
        <v>46113.0</v>
      </c>
      <c r="E33" s="65">
        <v>46133.0</v>
      </c>
      <c r="F33" s="66" t="s">
        <v>233</v>
      </c>
      <c r="G33" s="67" t="s">
        <v>199</v>
      </c>
      <c r="H33" s="67" t="s">
        <v>69</v>
      </c>
      <c r="I33" s="68" t="s">
        <v>200</v>
      </c>
      <c r="J33" s="66" t="str">
        <f t="shared" si="1"/>
        <v>04 - abril</v>
      </c>
      <c r="K33" s="66" t="str">
        <f t="shared" si="2"/>
        <v>2026</v>
      </c>
      <c r="L33" s="6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</row>
    <row r="34" ht="22.5" hidden="1" customHeight="1">
      <c r="A34" s="70" t="s">
        <v>162</v>
      </c>
      <c r="B34" s="63" t="s">
        <v>147</v>
      </c>
      <c r="C34" s="71">
        <v>25000.0</v>
      </c>
      <c r="D34" s="72">
        <v>46113.0</v>
      </c>
      <c r="E34" s="72">
        <v>46123.0</v>
      </c>
      <c r="F34" s="73" t="s">
        <v>234</v>
      </c>
      <c r="G34" s="75" t="s">
        <v>199</v>
      </c>
      <c r="H34" s="75" t="s">
        <v>69</v>
      </c>
      <c r="I34" s="77" t="s">
        <v>200</v>
      </c>
      <c r="J34" s="73" t="str">
        <f t="shared" si="1"/>
        <v>04 - abril</v>
      </c>
      <c r="K34" s="73" t="str">
        <f t="shared" si="2"/>
        <v>2026</v>
      </c>
      <c r="L34" s="80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</row>
    <row r="35" ht="22.5" hidden="1" customHeight="1">
      <c r="A35" s="62" t="s">
        <v>151</v>
      </c>
      <c r="B35" s="63" t="s">
        <v>147</v>
      </c>
      <c r="C35" s="64">
        <v>25000.0</v>
      </c>
      <c r="D35" s="65">
        <v>46113.0</v>
      </c>
      <c r="E35" s="65">
        <v>46129.0</v>
      </c>
      <c r="F35" s="66" t="s">
        <v>236</v>
      </c>
      <c r="G35" s="67" t="s">
        <v>199</v>
      </c>
      <c r="H35" s="67" t="s">
        <v>69</v>
      </c>
      <c r="I35" s="68" t="s">
        <v>200</v>
      </c>
      <c r="J35" s="66" t="str">
        <f t="shared" si="1"/>
        <v>04 - abril</v>
      </c>
      <c r="K35" s="66" t="str">
        <f t="shared" si="2"/>
        <v>2026</v>
      </c>
      <c r="L35" s="6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</row>
    <row r="36" ht="22.5" hidden="1" customHeight="1">
      <c r="A36" s="70" t="s">
        <v>155</v>
      </c>
      <c r="B36" s="63" t="s">
        <v>147</v>
      </c>
      <c r="C36" s="71">
        <v>25000.0</v>
      </c>
      <c r="D36" s="72">
        <v>46113.0</v>
      </c>
      <c r="E36" s="72">
        <v>46118.0</v>
      </c>
      <c r="F36" s="73" t="s">
        <v>237</v>
      </c>
      <c r="G36" s="75" t="s">
        <v>199</v>
      </c>
      <c r="H36" s="75" t="s">
        <v>69</v>
      </c>
      <c r="I36" s="77" t="s">
        <v>200</v>
      </c>
      <c r="J36" s="73" t="str">
        <f t="shared" si="1"/>
        <v>04 - abril</v>
      </c>
      <c r="K36" s="73" t="str">
        <f t="shared" si="2"/>
        <v>2026</v>
      </c>
      <c r="L36" s="80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</row>
    <row r="37" ht="22.5" hidden="1" customHeight="1">
      <c r="A37" s="62" t="s">
        <v>148</v>
      </c>
      <c r="B37" s="63" t="s">
        <v>147</v>
      </c>
      <c r="C37" s="64">
        <v>25000.0</v>
      </c>
      <c r="D37" s="65">
        <v>46113.0</v>
      </c>
      <c r="E37" s="65">
        <v>46118.0</v>
      </c>
      <c r="F37" s="66" t="s">
        <v>238</v>
      </c>
      <c r="G37" s="67" t="s">
        <v>199</v>
      </c>
      <c r="H37" s="67" t="s">
        <v>69</v>
      </c>
      <c r="I37" s="68" t="s">
        <v>200</v>
      </c>
      <c r="J37" s="66" t="str">
        <f t="shared" si="1"/>
        <v>04 - abril</v>
      </c>
      <c r="K37" s="66" t="str">
        <f t="shared" si="2"/>
        <v>2026</v>
      </c>
      <c r="L37" s="6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</row>
    <row r="38" ht="22.5" hidden="1" customHeight="1">
      <c r="A38" s="70" t="s">
        <v>161</v>
      </c>
      <c r="B38" s="63" t="s">
        <v>147</v>
      </c>
      <c r="C38" s="71">
        <v>25000.0</v>
      </c>
      <c r="D38" s="72">
        <v>46113.0</v>
      </c>
      <c r="E38" s="72">
        <v>46119.0</v>
      </c>
      <c r="F38" s="73" t="s">
        <v>239</v>
      </c>
      <c r="G38" s="75" t="s">
        <v>218</v>
      </c>
      <c r="H38" s="75" t="s">
        <v>69</v>
      </c>
      <c r="I38" s="77" t="s">
        <v>200</v>
      </c>
      <c r="J38" s="73" t="str">
        <f t="shared" si="1"/>
        <v>04 - abril</v>
      </c>
      <c r="K38" s="73" t="str">
        <f t="shared" si="2"/>
        <v>2026</v>
      </c>
      <c r="L38" s="80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</row>
    <row r="39" ht="22.5" hidden="1" customHeight="1">
      <c r="A39" s="62" t="s">
        <v>160</v>
      </c>
      <c r="B39" s="63" t="s">
        <v>147</v>
      </c>
      <c r="C39" s="64">
        <v>25000.0</v>
      </c>
      <c r="D39" s="65">
        <v>46113.0</v>
      </c>
      <c r="E39" s="65">
        <v>46127.0</v>
      </c>
      <c r="F39" s="66" t="s">
        <v>240</v>
      </c>
      <c r="G39" s="67" t="s">
        <v>199</v>
      </c>
      <c r="H39" s="67" t="s">
        <v>69</v>
      </c>
      <c r="I39" s="68" t="s">
        <v>200</v>
      </c>
      <c r="J39" s="66" t="str">
        <f t="shared" si="1"/>
        <v>04 - abril</v>
      </c>
      <c r="K39" s="66" t="str">
        <f t="shared" si="2"/>
        <v>2026</v>
      </c>
      <c r="L39" s="6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ht="22.5" hidden="1" customHeight="1">
      <c r="A40" s="70" t="s">
        <v>153</v>
      </c>
      <c r="B40" s="63" t="s">
        <v>147</v>
      </c>
      <c r="C40" s="71">
        <v>25000.0</v>
      </c>
      <c r="D40" s="72">
        <v>46113.0</v>
      </c>
      <c r="E40" s="72">
        <v>46119.0</v>
      </c>
      <c r="F40" s="73" t="s">
        <v>241</v>
      </c>
      <c r="G40" s="75" t="s">
        <v>218</v>
      </c>
      <c r="H40" s="75" t="s">
        <v>69</v>
      </c>
      <c r="I40" s="77" t="s">
        <v>200</v>
      </c>
      <c r="J40" s="73" t="str">
        <f t="shared" si="1"/>
        <v>04 - abril</v>
      </c>
      <c r="K40" s="73" t="str">
        <f t="shared" si="2"/>
        <v>2026</v>
      </c>
      <c r="L40" s="80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 ht="22.5" hidden="1" customHeight="1">
      <c r="A41" s="62" t="s">
        <v>163</v>
      </c>
      <c r="B41" s="63" t="s">
        <v>147</v>
      </c>
      <c r="C41" s="64">
        <v>25000.0</v>
      </c>
      <c r="D41" s="65">
        <v>46113.0</v>
      </c>
      <c r="E41" s="65">
        <v>46118.0</v>
      </c>
      <c r="F41" s="66" t="s">
        <v>242</v>
      </c>
      <c r="G41" s="67" t="s">
        <v>199</v>
      </c>
      <c r="H41" s="67" t="s">
        <v>69</v>
      </c>
      <c r="I41" s="68" t="s">
        <v>200</v>
      </c>
      <c r="J41" s="66" t="str">
        <f t="shared" si="1"/>
        <v>04 - abril</v>
      </c>
      <c r="K41" s="66" t="str">
        <f t="shared" si="2"/>
        <v>2026</v>
      </c>
      <c r="L41" s="6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</row>
    <row r="42" ht="22.5" hidden="1" customHeight="1">
      <c r="A42" s="70" t="s">
        <v>154</v>
      </c>
      <c r="B42" s="63" t="s">
        <v>147</v>
      </c>
      <c r="C42" s="71">
        <v>25000.0</v>
      </c>
      <c r="D42" s="72">
        <v>46143.0</v>
      </c>
      <c r="E42" s="72">
        <v>46157.0</v>
      </c>
      <c r="F42" s="73" t="s">
        <v>243</v>
      </c>
      <c r="G42" s="75" t="s">
        <v>218</v>
      </c>
      <c r="H42" s="75" t="s">
        <v>69</v>
      </c>
      <c r="I42" s="77" t="s">
        <v>200</v>
      </c>
      <c r="J42" s="73" t="str">
        <f t="shared" si="1"/>
        <v>05 - mayo</v>
      </c>
      <c r="K42" s="73" t="str">
        <f t="shared" si="2"/>
        <v>2026</v>
      </c>
      <c r="L42" s="80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</row>
    <row r="43" ht="22.5" hidden="1" customHeight="1">
      <c r="A43" s="62" t="s">
        <v>150</v>
      </c>
      <c r="B43" s="63" t="s">
        <v>147</v>
      </c>
      <c r="C43" s="64">
        <v>25000.0</v>
      </c>
      <c r="D43" s="65">
        <v>46143.0</v>
      </c>
      <c r="E43" s="65">
        <v>46155.0</v>
      </c>
      <c r="F43" s="66" t="s">
        <v>247</v>
      </c>
      <c r="G43" s="67" t="s">
        <v>199</v>
      </c>
      <c r="H43" s="67" t="s">
        <v>69</v>
      </c>
      <c r="I43" s="68" t="s">
        <v>200</v>
      </c>
      <c r="J43" s="66" t="str">
        <f t="shared" si="1"/>
        <v>05 - mayo</v>
      </c>
      <c r="K43" s="66" t="str">
        <f t="shared" si="2"/>
        <v>2026</v>
      </c>
      <c r="L43" s="6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 ht="22.5" hidden="1" customHeight="1">
      <c r="A44" s="70" t="s">
        <v>159</v>
      </c>
      <c r="B44" s="63" t="s">
        <v>147</v>
      </c>
      <c r="C44" s="71">
        <v>25000.0</v>
      </c>
      <c r="D44" s="72">
        <v>46143.0</v>
      </c>
      <c r="E44" s="72">
        <v>46153.0</v>
      </c>
      <c r="F44" s="73" t="s">
        <v>250</v>
      </c>
      <c r="G44" s="75" t="s">
        <v>199</v>
      </c>
      <c r="H44" s="75" t="s">
        <v>69</v>
      </c>
      <c r="I44" s="77" t="s">
        <v>200</v>
      </c>
      <c r="J44" s="73" t="str">
        <f t="shared" si="1"/>
        <v>05 - mayo</v>
      </c>
      <c r="K44" s="73" t="str">
        <f t="shared" si="2"/>
        <v>2026</v>
      </c>
      <c r="L44" s="80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ht="22.5" hidden="1" customHeight="1">
      <c r="A45" s="62" t="s">
        <v>156</v>
      </c>
      <c r="B45" s="63" t="s">
        <v>147</v>
      </c>
      <c r="C45" s="64">
        <v>25000.0</v>
      </c>
      <c r="D45" s="65">
        <v>46143.0</v>
      </c>
      <c r="E45" s="65">
        <v>46146.0</v>
      </c>
      <c r="F45" s="66" t="s">
        <v>251</v>
      </c>
      <c r="G45" s="67" t="s">
        <v>199</v>
      </c>
      <c r="H45" s="67" t="s">
        <v>69</v>
      </c>
      <c r="I45" s="68" t="s">
        <v>200</v>
      </c>
      <c r="J45" s="66" t="str">
        <f t="shared" si="1"/>
        <v>05 - mayo</v>
      </c>
      <c r="K45" s="66" t="str">
        <f t="shared" si="2"/>
        <v>2026</v>
      </c>
      <c r="L45" s="6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 ht="22.5" hidden="1" customHeight="1">
      <c r="A46" s="70" t="s">
        <v>152</v>
      </c>
      <c r="B46" s="63" t="s">
        <v>147</v>
      </c>
      <c r="C46" s="71">
        <v>25000.0</v>
      </c>
      <c r="D46" s="72">
        <v>46143.0</v>
      </c>
      <c r="E46" s="72">
        <v>46156.0</v>
      </c>
      <c r="F46" s="73" t="s">
        <v>252</v>
      </c>
      <c r="G46" s="75" t="s">
        <v>199</v>
      </c>
      <c r="H46" s="75" t="s">
        <v>69</v>
      </c>
      <c r="I46" s="77" t="s">
        <v>200</v>
      </c>
      <c r="J46" s="73" t="str">
        <f t="shared" si="1"/>
        <v>05 - mayo</v>
      </c>
      <c r="K46" s="73" t="str">
        <f t="shared" si="2"/>
        <v>2026</v>
      </c>
      <c r="L46" s="80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 ht="22.5" hidden="1" customHeight="1">
      <c r="A47" s="62" t="s">
        <v>162</v>
      </c>
      <c r="B47" s="63" t="s">
        <v>147</v>
      </c>
      <c r="C47" s="64">
        <v>25000.0</v>
      </c>
      <c r="D47" s="65">
        <v>46143.0</v>
      </c>
      <c r="E47" s="65">
        <v>46152.0</v>
      </c>
      <c r="F47" s="66" t="s">
        <v>253</v>
      </c>
      <c r="G47" s="67" t="s">
        <v>199</v>
      </c>
      <c r="H47" s="67" t="s">
        <v>69</v>
      </c>
      <c r="I47" s="68" t="s">
        <v>200</v>
      </c>
      <c r="J47" s="66" t="str">
        <f t="shared" si="1"/>
        <v>05 - mayo</v>
      </c>
      <c r="K47" s="66" t="str">
        <f t="shared" si="2"/>
        <v>2026</v>
      </c>
      <c r="L47" s="6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 ht="22.5" hidden="1" customHeight="1">
      <c r="A48" s="70" t="s">
        <v>151</v>
      </c>
      <c r="B48" s="63" t="s">
        <v>147</v>
      </c>
      <c r="C48" s="71">
        <v>25000.0</v>
      </c>
      <c r="D48" s="72">
        <v>46143.0</v>
      </c>
      <c r="E48" s="72">
        <v>46149.0</v>
      </c>
      <c r="F48" s="73" t="s">
        <v>254</v>
      </c>
      <c r="G48" s="75" t="s">
        <v>199</v>
      </c>
      <c r="H48" s="75" t="s">
        <v>69</v>
      </c>
      <c r="I48" s="77" t="s">
        <v>200</v>
      </c>
      <c r="J48" s="73" t="str">
        <f t="shared" si="1"/>
        <v>05 - mayo</v>
      </c>
      <c r="K48" s="73" t="str">
        <f t="shared" si="2"/>
        <v>2026</v>
      </c>
      <c r="L48" s="80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 ht="22.5" hidden="1" customHeight="1">
      <c r="A49" s="62" t="s">
        <v>155</v>
      </c>
      <c r="B49" s="63" t="s">
        <v>147</v>
      </c>
      <c r="C49" s="64">
        <v>25000.0</v>
      </c>
      <c r="D49" s="65">
        <v>46143.0</v>
      </c>
      <c r="E49" s="65">
        <v>46156.0</v>
      </c>
      <c r="F49" s="66" t="s">
        <v>255</v>
      </c>
      <c r="G49" s="67" t="s">
        <v>199</v>
      </c>
      <c r="H49" s="67" t="s">
        <v>69</v>
      </c>
      <c r="I49" s="68" t="s">
        <v>200</v>
      </c>
      <c r="J49" s="66" t="str">
        <f t="shared" si="1"/>
        <v>05 - mayo</v>
      </c>
      <c r="K49" s="66" t="str">
        <f t="shared" si="2"/>
        <v>2026</v>
      </c>
      <c r="L49" s="6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 ht="22.5" hidden="1" customHeight="1">
      <c r="A50" s="70" t="s">
        <v>148</v>
      </c>
      <c r="B50" s="63" t="s">
        <v>147</v>
      </c>
      <c r="C50" s="71">
        <v>25000.0</v>
      </c>
      <c r="D50" s="72">
        <v>46143.0</v>
      </c>
      <c r="E50" s="72">
        <v>46146.0</v>
      </c>
      <c r="F50" s="73" t="s">
        <v>256</v>
      </c>
      <c r="G50" s="75" t="s">
        <v>199</v>
      </c>
      <c r="H50" s="75" t="s">
        <v>69</v>
      </c>
      <c r="I50" s="77" t="s">
        <v>200</v>
      </c>
      <c r="J50" s="73" t="str">
        <f t="shared" si="1"/>
        <v>05 - mayo</v>
      </c>
      <c r="K50" s="73" t="str">
        <f t="shared" si="2"/>
        <v>2026</v>
      </c>
      <c r="L50" s="80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 ht="22.5" hidden="1" customHeight="1">
      <c r="A51" s="62" t="s">
        <v>161</v>
      </c>
      <c r="B51" s="63" t="s">
        <v>147</v>
      </c>
      <c r="C51" s="64">
        <v>25000.0</v>
      </c>
      <c r="D51" s="65">
        <v>46143.0</v>
      </c>
      <c r="E51" s="65">
        <v>46152.0</v>
      </c>
      <c r="F51" s="66" t="s">
        <v>257</v>
      </c>
      <c r="G51" s="67" t="s">
        <v>218</v>
      </c>
      <c r="H51" s="67" t="s">
        <v>69</v>
      </c>
      <c r="I51" s="68" t="s">
        <v>200</v>
      </c>
      <c r="J51" s="66" t="str">
        <f t="shared" si="1"/>
        <v>05 - mayo</v>
      </c>
      <c r="K51" s="66" t="str">
        <f t="shared" si="2"/>
        <v>2026</v>
      </c>
      <c r="L51" s="6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 ht="22.5" hidden="1" customHeight="1">
      <c r="A52" s="70" t="s">
        <v>160</v>
      </c>
      <c r="B52" s="63" t="s">
        <v>147</v>
      </c>
      <c r="C52" s="71">
        <v>25000.0</v>
      </c>
      <c r="D52" s="72">
        <v>46143.0</v>
      </c>
      <c r="E52" s="72">
        <v>46157.0</v>
      </c>
      <c r="F52" s="73" t="s">
        <v>264</v>
      </c>
      <c r="G52" s="75" t="s">
        <v>199</v>
      </c>
      <c r="H52" s="75" t="s">
        <v>69</v>
      </c>
      <c r="I52" s="77" t="s">
        <v>200</v>
      </c>
      <c r="J52" s="73" t="str">
        <f t="shared" si="1"/>
        <v>05 - mayo</v>
      </c>
      <c r="K52" s="73" t="str">
        <f t="shared" si="2"/>
        <v>2026</v>
      </c>
      <c r="L52" s="80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 ht="22.5" hidden="1" customHeight="1">
      <c r="A53" s="62" t="s">
        <v>153</v>
      </c>
      <c r="B53" s="63" t="s">
        <v>147</v>
      </c>
      <c r="C53" s="64">
        <v>25000.0</v>
      </c>
      <c r="D53" s="65">
        <v>46143.0</v>
      </c>
      <c r="E53" s="65">
        <v>46148.0</v>
      </c>
      <c r="F53" s="66" t="s">
        <v>266</v>
      </c>
      <c r="G53" s="67" t="s">
        <v>218</v>
      </c>
      <c r="H53" s="67" t="s">
        <v>69</v>
      </c>
      <c r="I53" s="68" t="s">
        <v>200</v>
      </c>
      <c r="J53" s="66" t="str">
        <f t="shared" si="1"/>
        <v>05 - mayo</v>
      </c>
      <c r="K53" s="66" t="str">
        <f t="shared" si="2"/>
        <v>2026</v>
      </c>
      <c r="L53" s="6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 ht="22.5" hidden="1" customHeight="1">
      <c r="A54" s="70" t="s">
        <v>163</v>
      </c>
      <c r="B54" s="63" t="s">
        <v>147</v>
      </c>
      <c r="C54" s="71">
        <v>25000.0</v>
      </c>
      <c r="D54" s="72">
        <v>46143.0</v>
      </c>
      <c r="E54" s="72">
        <v>46146.0</v>
      </c>
      <c r="F54" s="73" t="s">
        <v>271</v>
      </c>
      <c r="G54" s="75" t="s">
        <v>199</v>
      </c>
      <c r="H54" s="75" t="s">
        <v>69</v>
      </c>
      <c r="I54" s="77" t="s">
        <v>200</v>
      </c>
      <c r="J54" s="73" t="str">
        <f t="shared" si="1"/>
        <v>05 - mayo</v>
      </c>
      <c r="K54" s="73" t="str">
        <f t="shared" si="2"/>
        <v>2026</v>
      </c>
      <c r="L54" s="92" t="s">
        <v>272</v>
      </c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 ht="22.5" hidden="1" customHeight="1">
      <c r="A55" s="62" t="s">
        <v>154</v>
      </c>
      <c r="B55" s="63" t="s">
        <v>147</v>
      </c>
      <c r="C55" s="64">
        <v>25000.0</v>
      </c>
      <c r="D55" s="65">
        <v>46174.0</v>
      </c>
      <c r="E55" s="65">
        <v>46192.0</v>
      </c>
      <c r="F55" s="66" t="s">
        <v>275</v>
      </c>
      <c r="G55" s="67" t="s">
        <v>199</v>
      </c>
      <c r="H55" s="67" t="s">
        <v>69</v>
      </c>
      <c r="I55" s="68" t="s">
        <v>200</v>
      </c>
      <c r="J55" s="66" t="str">
        <f t="shared" si="1"/>
        <v>06 - junio</v>
      </c>
      <c r="K55" s="66" t="str">
        <f t="shared" si="2"/>
        <v>2026</v>
      </c>
      <c r="L55" s="6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ht="22.5" hidden="1" customHeight="1">
      <c r="A56" s="70" t="s">
        <v>150</v>
      </c>
      <c r="B56" s="63" t="s">
        <v>147</v>
      </c>
      <c r="C56" s="71">
        <v>25000.0</v>
      </c>
      <c r="D56" s="72">
        <v>46174.0</v>
      </c>
      <c r="E56" s="72">
        <v>46189.0</v>
      </c>
      <c r="F56" s="73" t="s">
        <v>278</v>
      </c>
      <c r="G56" s="75" t="s">
        <v>199</v>
      </c>
      <c r="H56" s="75" t="s">
        <v>69</v>
      </c>
      <c r="I56" s="77" t="s">
        <v>200</v>
      </c>
      <c r="J56" s="73" t="str">
        <f t="shared" si="1"/>
        <v>06 - junio</v>
      </c>
      <c r="K56" s="73" t="str">
        <f t="shared" si="2"/>
        <v>2026</v>
      </c>
      <c r="L56" s="80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ht="22.5" hidden="1" customHeight="1">
      <c r="A57" s="62" t="s">
        <v>159</v>
      </c>
      <c r="B57" s="63" t="s">
        <v>147</v>
      </c>
      <c r="C57" s="64">
        <v>25000.0</v>
      </c>
      <c r="D57" s="65">
        <v>46174.0</v>
      </c>
      <c r="E57" s="65">
        <v>46192.0</v>
      </c>
      <c r="F57" s="66" t="s">
        <v>279</v>
      </c>
      <c r="G57" s="67" t="s">
        <v>199</v>
      </c>
      <c r="H57" s="67" t="s">
        <v>69</v>
      </c>
      <c r="I57" s="68" t="s">
        <v>200</v>
      </c>
      <c r="J57" s="66" t="str">
        <f t="shared" si="1"/>
        <v>06 - junio</v>
      </c>
      <c r="K57" s="66" t="str">
        <f t="shared" si="2"/>
        <v>2026</v>
      </c>
      <c r="L57" s="6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ht="22.5" hidden="1" customHeight="1">
      <c r="A58" s="70" t="s">
        <v>156</v>
      </c>
      <c r="B58" s="63" t="s">
        <v>147</v>
      </c>
      <c r="C58" s="71">
        <v>25000.0</v>
      </c>
      <c r="D58" s="72">
        <v>46174.0</v>
      </c>
      <c r="E58" s="72">
        <v>46174.0</v>
      </c>
      <c r="F58" s="73" t="s">
        <v>280</v>
      </c>
      <c r="G58" s="75" t="s">
        <v>199</v>
      </c>
      <c r="H58" s="75" t="s">
        <v>69</v>
      </c>
      <c r="I58" s="77" t="s">
        <v>200</v>
      </c>
      <c r="J58" s="73" t="str">
        <f t="shared" si="1"/>
        <v>06 - junio</v>
      </c>
      <c r="K58" s="73" t="str">
        <f t="shared" si="2"/>
        <v>2026</v>
      </c>
      <c r="L58" s="80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 ht="22.5" hidden="1" customHeight="1">
      <c r="A59" s="62" t="s">
        <v>152</v>
      </c>
      <c r="B59" s="63" t="s">
        <v>147</v>
      </c>
      <c r="C59" s="64">
        <v>25000.0</v>
      </c>
      <c r="D59" s="65">
        <v>46174.0</v>
      </c>
      <c r="E59" s="65">
        <v>46189.0</v>
      </c>
      <c r="F59" s="66" t="s">
        <v>281</v>
      </c>
      <c r="G59" s="67" t="s">
        <v>199</v>
      </c>
      <c r="H59" s="67" t="s">
        <v>69</v>
      </c>
      <c r="I59" s="68" t="s">
        <v>200</v>
      </c>
      <c r="J59" s="66" t="str">
        <f t="shared" si="1"/>
        <v>06 - junio</v>
      </c>
      <c r="K59" s="66" t="str">
        <f t="shared" si="2"/>
        <v>2026</v>
      </c>
      <c r="L59" s="6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</row>
    <row r="60" ht="22.5" hidden="1" customHeight="1">
      <c r="A60" s="70" t="s">
        <v>162</v>
      </c>
      <c r="B60" s="63" t="s">
        <v>147</v>
      </c>
      <c r="C60" s="71">
        <v>25000.0</v>
      </c>
      <c r="D60" s="72">
        <v>46174.0</v>
      </c>
      <c r="E60" s="72">
        <v>46198.0</v>
      </c>
      <c r="F60" s="73" t="s">
        <v>282</v>
      </c>
      <c r="G60" s="75" t="s">
        <v>199</v>
      </c>
      <c r="H60" s="75" t="s">
        <v>69</v>
      </c>
      <c r="I60" s="77" t="s">
        <v>200</v>
      </c>
      <c r="J60" s="73" t="str">
        <f t="shared" si="1"/>
        <v>06 - junio</v>
      </c>
      <c r="K60" s="73" t="str">
        <f t="shared" si="2"/>
        <v>2026</v>
      </c>
      <c r="L60" s="80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</row>
    <row r="61" ht="22.5" hidden="1" customHeight="1">
      <c r="A61" s="62" t="s">
        <v>151</v>
      </c>
      <c r="B61" s="63" t="s">
        <v>147</v>
      </c>
      <c r="C61" s="64">
        <v>25000.0</v>
      </c>
      <c r="D61" s="65">
        <v>46174.0</v>
      </c>
      <c r="E61" s="65">
        <v>46177.0</v>
      </c>
      <c r="F61" s="66" t="s">
        <v>283</v>
      </c>
      <c r="G61" s="67" t="s">
        <v>199</v>
      </c>
      <c r="H61" s="67" t="s">
        <v>69</v>
      </c>
      <c r="I61" s="68" t="s">
        <v>200</v>
      </c>
      <c r="J61" s="66" t="str">
        <f t="shared" si="1"/>
        <v>06 - junio</v>
      </c>
      <c r="K61" s="66" t="str">
        <f t="shared" si="2"/>
        <v>2026</v>
      </c>
      <c r="L61" s="6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</row>
    <row r="62" ht="22.5" hidden="1" customHeight="1">
      <c r="A62" s="70" t="s">
        <v>155</v>
      </c>
      <c r="B62" s="63" t="s">
        <v>147</v>
      </c>
      <c r="C62" s="71">
        <v>25000.0</v>
      </c>
      <c r="D62" s="72">
        <v>46174.0</v>
      </c>
      <c r="E62" s="72">
        <v>46190.0</v>
      </c>
      <c r="F62" s="73" t="s">
        <v>284</v>
      </c>
      <c r="G62" s="75" t="s">
        <v>199</v>
      </c>
      <c r="H62" s="75" t="s">
        <v>69</v>
      </c>
      <c r="I62" s="77" t="s">
        <v>200</v>
      </c>
      <c r="J62" s="73" t="str">
        <f t="shared" si="1"/>
        <v>06 - junio</v>
      </c>
      <c r="K62" s="73" t="str">
        <f t="shared" si="2"/>
        <v>2026</v>
      </c>
      <c r="L62" s="80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</row>
    <row r="63" ht="22.5" hidden="1" customHeight="1">
      <c r="A63" s="62" t="s">
        <v>148</v>
      </c>
      <c r="B63" s="63" t="s">
        <v>147</v>
      </c>
      <c r="C63" s="64">
        <v>25000.0</v>
      </c>
      <c r="D63" s="65">
        <v>46174.0</v>
      </c>
      <c r="E63" s="65">
        <v>46175.0</v>
      </c>
      <c r="F63" s="66" t="s">
        <v>285</v>
      </c>
      <c r="G63" s="67" t="s">
        <v>199</v>
      </c>
      <c r="H63" s="67" t="s">
        <v>69</v>
      </c>
      <c r="I63" s="68" t="s">
        <v>200</v>
      </c>
      <c r="J63" s="66" t="str">
        <f t="shared" si="1"/>
        <v>06 - junio</v>
      </c>
      <c r="K63" s="66" t="str">
        <f t="shared" si="2"/>
        <v>2026</v>
      </c>
      <c r="L63" s="6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</row>
    <row r="64" ht="22.5" hidden="1" customHeight="1">
      <c r="A64" s="70" t="s">
        <v>161</v>
      </c>
      <c r="B64" s="63" t="s">
        <v>147</v>
      </c>
      <c r="C64" s="71">
        <v>25000.0</v>
      </c>
      <c r="D64" s="72">
        <v>46174.0</v>
      </c>
      <c r="E64" s="72">
        <v>46180.0</v>
      </c>
      <c r="F64" s="73" t="s">
        <v>287</v>
      </c>
      <c r="G64" s="75" t="s">
        <v>218</v>
      </c>
      <c r="H64" s="75" t="s">
        <v>69</v>
      </c>
      <c r="I64" s="77" t="s">
        <v>200</v>
      </c>
      <c r="J64" s="73" t="str">
        <f t="shared" si="1"/>
        <v>06 - junio</v>
      </c>
      <c r="K64" s="73" t="str">
        <f t="shared" si="2"/>
        <v>2026</v>
      </c>
      <c r="L64" s="80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</row>
    <row r="65" ht="22.5" hidden="1" customHeight="1">
      <c r="A65" s="62" t="s">
        <v>160</v>
      </c>
      <c r="B65" s="63" t="s">
        <v>147</v>
      </c>
      <c r="C65" s="64">
        <v>25000.0</v>
      </c>
      <c r="D65" s="65">
        <v>46174.0</v>
      </c>
      <c r="E65" s="65">
        <v>46203.0</v>
      </c>
      <c r="F65" s="66" t="s">
        <v>288</v>
      </c>
      <c r="G65" s="67" t="s">
        <v>199</v>
      </c>
      <c r="H65" s="67" t="s">
        <v>69</v>
      </c>
      <c r="I65" s="68" t="s">
        <v>200</v>
      </c>
      <c r="J65" s="66" t="str">
        <f t="shared" si="1"/>
        <v>06 - junio</v>
      </c>
      <c r="K65" s="66" t="str">
        <f t="shared" si="2"/>
        <v>2026</v>
      </c>
      <c r="L65" s="6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</row>
    <row r="66" ht="22.5" hidden="1" customHeight="1">
      <c r="A66" s="70" t="s">
        <v>153</v>
      </c>
      <c r="B66" s="63" t="s">
        <v>147</v>
      </c>
      <c r="C66" s="71">
        <v>25000.0</v>
      </c>
      <c r="D66" s="72">
        <v>46174.0</v>
      </c>
      <c r="E66" s="72">
        <v>46192.0</v>
      </c>
      <c r="F66" s="73" t="s">
        <v>291</v>
      </c>
      <c r="G66" s="75" t="s">
        <v>218</v>
      </c>
      <c r="H66" s="75" t="s">
        <v>69</v>
      </c>
      <c r="I66" s="77" t="s">
        <v>200</v>
      </c>
      <c r="J66" s="73" t="str">
        <f t="shared" si="1"/>
        <v>06 - junio</v>
      </c>
      <c r="K66" s="73" t="str">
        <f t="shared" si="2"/>
        <v>2026</v>
      </c>
      <c r="L66" s="80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</row>
    <row r="67" ht="22.5" hidden="1" customHeight="1">
      <c r="A67" s="62" t="s">
        <v>163</v>
      </c>
      <c r="B67" s="63" t="s">
        <v>147</v>
      </c>
      <c r="C67" s="64">
        <v>25000.0</v>
      </c>
      <c r="D67" s="65">
        <v>46174.0</v>
      </c>
      <c r="E67" s="65">
        <v>46174.0</v>
      </c>
      <c r="F67" s="66" t="s">
        <v>299</v>
      </c>
      <c r="G67" s="67" t="s">
        <v>199</v>
      </c>
      <c r="H67" s="67" t="s">
        <v>69</v>
      </c>
      <c r="I67" s="68" t="s">
        <v>200</v>
      </c>
      <c r="J67" s="66" t="str">
        <f t="shared" si="1"/>
        <v>06 - junio</v>
      </c>
      <c r="K67" s="66" t="str">
        <f t="shared" si="2"/>
        <v>2026</v>
      </c>
      <c r="L67" s="6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</row>
    <row r="68" ht="22.5" hidden="1" customHeight="1">
      <c r="A68" s="70" t="s">
        <v>154</v>
      </c>
      <c r="B68" s="63" t="s">
        <v>147</v>
      </c>
      <c r="C68" s="71">
        <v>25000.0</v>
      </c>
      <c r="D68" s="72">
        <v>46204.0</v>
      </c>
      <c r="E68" s="72">
        <v>46218.0</v>
      </c>
      <c r="F68" s="73" t="s">
        <v>300</v>
      </c>
      <c r="G68" s="75" t="s">
        <v>199</v>
      </c>
      <c r="H68" s="75" t="s">
        <v>69</v>
      </c>
      <c r="I68" s="77" t="s">
        <v>200</v>
      </c>
      <c r="J68" s="73" t="str">
        <f t="shared" si="1"/>
        <v>07 - julio</v>
      </c>
      <c r="K68" s="73" t="str">
        <f t="shared" si="2"/>
        <v>2026</v>
      </c>
      <c r="L68" s="80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</row>
    <row r="69" ht="22.5" hidden="1" customHeight="1">
      <c r="A69" s="62" t="s">
        <v>150</v>
      </c>
      <c r="B69" s="63" t="s">
        <v>147</v>
      </c>
      <c r="C69" s="64">
        <v>25000.0</v>
      </c>
      <c r="D69" s="65">
        <v>46204.0</v>
      </c>
      <c r="E69" s="65">
        <v>46223.0</v>
      </c>
      <c r="F69" s="66" t="s">
        <v>301</v>
      </c>
      <c r="G69" s="67" t="s">
        <v>199</v>
      </c>
      <c r="H69" s="67" t="s">
        <v>69</v>
      </c>
      <c r="I69" s="68" t="s">
        <v>200</v>
      </c>
      <c r="J69" s="66" t="str">
        <f t="shared" si="1"/>
        <v>07 - julio</v>
      </c>
      <c r="K69" s="66" t="str">
        <f t="shared" si="2"/>
        <v>2026</v>
      </c>
      <c r="L69" s="6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</row>
    <row r="70" ht="22.5" hidden="1" customHeight="1">
      <c r="A70" s="70" t="s">
        <v>159</v>
      </c>
      <c r="B70" s="63" t="s">
        <v>147</v>
      </c>
      <c r="C70" s="71">
        <v>25000.0</v>
      </c>
      <c r="D70" s="72">
        <v>46204.0</v>
      </c>
      <c r="E70" s="72">
        <v>46224.0</v>
      </c>
      <c r="F70" s="73" t="s">
        <v>302</v>
      </c>
      <c r="G70" s="75" t="s">
        <v>199</v>
      </c>
      <c r="H70" s="75" t="s">
        <v>69</v>
      </c>
      <c r="I70" s="77" t="s">
        <v>200</v>
      </c>
      <c r="J70" s="73" t="str">
        <f t="shared" si="1"/>
        <v>07 - julio</v>
      </c>
      <c r="K70" s="73" t="str">
        <f t="shared" si="2"/>
        <v>2026</v>
      </c>
      <c r="L70" s="80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</row>
    <row r="71" ht="22.5" hidden="1" customHeight="1">
      <c r="A71" s="62" t="s">
        <v>156</v>
      </c>
      <c r="B71" s="63" t="s">
        <v>147</v>
      </c>
      <c r="C71" s="64">
        <v>25000.0</v>
      </c>
      <c r="D71" s="65">
        <v>46204.0</v>
      </c>
      <c r="E71" s="65">
        <v>46205.0</v>
      </c>
      <c r="F71" s="66" t="s">
        <v>303</v>
      </c>
      <c r="G71" s="67" t="s">
        <v>199</v>
      </c>
      <c r="H71" s="67" t="s">
        <v>69</v>
      </c>
      <c r="I71" s="68" t="s">
        <v>200</v>
      </c>
      <c r="J71" s="66" t="str">
        <f t="shared" si="1"/>
        <v>07 - julio</v>
      </c>
      <c r="K71" s="66" t="str">
        <f t="shared" si="2"/>
        <v>2026</v>
      </c>
      <c r="L71" s="6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</row>
    <row r="72" ht="22.5" hidden="1" customHeight="1">
      <c r="A72" s="70" t="s">
        <v>152</v>
      </c>
      <c r="B72" s="63" t="s">
        <v>147</v>
      </c>
      <c r="C72" s="71">
        <v>30000.0</v>
      </c>
      <c r="D72" s="72">
        <v>46204.0</v>
      </c>
      <c r="E72" s="72">
        <v>46241.0</v>
      </c>
      <c r="F72" s="73" t="s">
        <v>304</v>
      </c>
      <c r="G72" s="85" t="s">
        <v>206</v>
      </c>
      <c r="H72" s="75" t="s">
        <v>69</v>
      </c>
      <c r="I72" s="77" t="s">
        <v>200</v>
      </c>
      <c r="J72" s="73" t="str">
        <f t="shared" si="1"/>
        <v>07 - julio</v>
      </c>
      <c r="K72" s="73" t="str">
        <f t="shared" si="2"/>
        <v>2026</v>
      </c>
      <c r="L72" s="92" t="s">
        <v>305</v>
      </c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 ht="22.5" hidden="1" customHeight="1">
      <c r="A73" s="62" t="s">
        <v>162</v>
      </c>
      <c r="B73" s="63" t="s">
        <v>147</v>
      </c>
      <c r="C73" s="64">
        <v>25000.0</v>
      </c>
      <c r="D73" s="65">
        <v>46204.0</v>
      </c>
      <c r="E73" s="65">
        <v>46216.0</v>
      </c>
      <c r="F73" s="66" t="s">
        <v>306</v>
      </c>
      <c r="G73" s="67" t="s">
        <v>199</v>
      </c>
      <c r="H73" s="67" t="s">
        <v>69</v>
      </c>
      <c r="I73" s="68" t="s">
        <v>200</v>
      </c>
      <c r="J73" s="66" t="str">
        <f t="shared" si="1"/>
        <v>07 - julio</v>
      </c>
      <c r="K73" s="66" t="str">
        <f t="shared" si="2"/>
        <v>2026</v>
      </c>
      <c r="L73" s="6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 ht="22.5" hidden="1" customHeight="1">
      <c r="A74" s="70" t="s">
        <v>151</v>
      </c>
      <c r="B74" s="63" t="s">
        <v>147</v>
      </c>
      <c r="C74" s="90"/>
      <c r="D74" s="72">
        <v>46204.0</v>
      </c>
      <c r="E74" s="83"/>
      <c r="F74" s="84"/>
      <c r="G74" s="91"/>
      <c r="H74" s="85" t="s">
        <v>68</v>
      </c>
      <c r="I74" s="77" t="s">
        <v>200</v>
      </c>
      <c r="J74" s="73" t="str">
        <f t="shared" si="1"/>
        <v>07 - julio</v>
      </c>
      <c r="K74" s="73" t="str">
        <f t="shared" si="2"/>
        <v>2026</v>
      </c>
      <c r="L74" s="92" t="s">
        <v>307</v>
      </c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 ht="22.5" hidden="1" customHeight="1">
      <c r="A75" s="62" t="s">
        <v>155</v>
      </c>
      <c r="B75" s="63" t="s">
        <v>147</v>
      </c>
      <c r="C75" s="64">
        <v>25000.0</v>
      </c>
      <c r="D75" s="65">
        <v>46204.0</v>
      </c>
      <c r="E75" s="65">
        <v>46209.0</v>
      </c>
      <c r="F75" s="66" t="s">
        <v>308</v>
      </c>
      <c r="G75" s="67" t="s">
        <v>199</v>
      </c>
      <c r="H75" s="67" t="s">
        <v>69</v>
      </c>
      <c r="I75" s="68" t="s">
        <v>200</v>
      </c>
      <c r="J75" s="66" t="str">
        <f t="shared" si="1"/>
        <v>07 - julio</v>
      </c>
      <c r="K75" s="66" t="str">
        <f t="shared" si="2"/>
        <v>2026</v>
      </c>
      <c r="L75" s="6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 ht="22.5" hidden="1" customHeight="1">
      <c r="A76" s="70" t="s">
        <v>148</v>
      </c>
      <c r="B76" s="63" t="s">
        <v>147</v>
      </c>
      <c r="C76" s="71">
        <v>25000.0</v>
      </c>
      <c r="D76" s="72">
        <v>46204.0</v>
      </c>
      <c r="E76" s="72">
        <v>46204.0</v>
      </c>
      <c r="F76" s="73" t="s">
        <v>309</v>
      </c>
      <c r="G76" s="75" t="s">
        <v>199</v>
      </c>
      <c r="H76" s="75" t="s">
        <v>69</v>
      </c>
      <c r="I76" s="77" t="s">
        <v>200</v>
      </c>
      <c r="J76" s="73" t="str">
        <f t="shared" si="1"/>
        <v>07 - julio</v>
      </c>
      <c r="K76" s="73" t="str">
        <f t="shared" si="2"/>
        <v>2026</v>
      </c>
      <c r="L76" s="80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</row>
    <row r="77" ht="22.5" hidden="1" customHeight="1">
      <c r="A77" s="62" t="s">
        <v>161</v>
      </c>
      <c r="B77" s="63" t="s">
        <v>147</v>
      </c>
      <c r="C77" s="64">
        <v>25000.0</v>
      </c>
      <c r="D77" s="65">
        <v>46204.0</v>
      </c>
      <c r="E77" s="65">
        <v>46218.0</v>
      </c>
      <c r="F77" s="66" t="s">
        <v>310</v>
      </c>
      <c r="G77" s="67" t="s">
        <v>218</v>
      </c>
      <c r="H77" s="67" t="s">
        <v>69</v>
      </c>
      <c r="I77" s="68" t="s">
        <v>200</v>
      </c>
      <c r="J77" s="66" t="str">
        <f t="shared" si="1"/>
        <v>07 - julio</v>
      </c>
      <c r="K77" s="66" t="str">
        <f t="shared" si="2"/>
        <v>2026</v>
      </c>
      <c r="L77" s="6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</row>
    <row r="78" ht="22.5" hidden="1" customHeight="1">
      <c r="A78" s="70" t="s">
        <v>160</v>
      </c>
      <c r="B78" s="63" t="s">
        <v>147</v>
      </c>
      <c r="C78" s="71">
        <v>30000.0</v>
      </c>
      <c r="D78" s="72">
        <v>46204.0</v>
      </c>
      <c r="E78" s="72">
        <v>46275.0</v>
      </c>
      <c r="F78" s="73" t="s">
        <v>311</v>
      </c>
      <c r="G78" s="75" t="s">
        <v>199</v>
      </c>
      <c r="H78" s="75" t="s">
        <v>69</v>
      </c>
      <c r="I78" s="77" t="s">
        <v>200</v>
      </c>
      <c r="J78" s="73" t="str">
        <f t="shared" si="1"/>
        <v>07 - julio</v>
      </c>
      <c r="K78" s="73" t="str">
        <f t="shared" si="2"/>
        <v>2026</v>
      </c>
      <c r="L78" s="92" t="s">
        <v>305</v>
      </c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</row>
    <row r="79" ht="22.5" hidden="1" customHeight="1">
      <c r="A79" s="62" t="s">
        <v>153</v>
      </c>
      <c r="B79" s="63" t="s">
        <v>147</v>
      </c>
      <c r="C79" s="64">
        <v>25000.0</v>
      </c>
      <c r="D79" s="65">
        <v>46204.0</v>
      </c>
      <c r="E79" s="65">
        <v>46219.0</v>
      </c>
      <c r="F79" s="66" t="s">
        <v>312</v>
      </c>
      <c r="G79" s="67" t="s">
        <v>218</v>
      </c>
      <c r="H79" s="67" t="s">
        <v>69</v>
      </c>
      <c r="I79" s="68" t="s">
        <v>200</v>
      </c>
      <c r="J79" s="66" t="str">
        <f t="shared" si="1"/>
        <v>07 - julio</v>
      </c>
      <c r="K79" s="66" t="str">
        <f t="shared" si="2"/>
        <v>2026</v>
      </c>
      <c r="L79" s="6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</row>
    <row r="80" ht="22.5" hidden="1" customHeight="1">
      <c r="A80" s="70" t="s">
        <v>163</v>
      </c>
      <c r="B80" s="63" t="s">
        <v>147</v>
      </c>
      <c r="C80" s="71">
        <v>25000.0</v>
      </c>
      <c r="D80" s="72">
        <v>46204.0</v>
      </c>
      <c r="E80" s="72">
        <v>46203.0</v>
      </c>
      <c r="F80" s="73" t="s">
        <v>313</v>
      </c>
      <c r="G80" s="75" t="s">
        <v>199</v>
      </c>
      <c r="H80" s="75" t="s">
        <v>69</v>
      </c>
      <c r="I80" s="77" t="s">
        <v>200</v>
      </c>
      <c r="J80" s="73" t="str">
        <f t="shared" si="1"/>
        <v>07 - julio</v>
      </c>
      <c r="K80" s="73" t="str">
        <f t="shared" si="2"/>
        <v>2026</v>
      </c>
      <c r="L80" s="80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</row>
    <row r="81" ht="22.5" hidden="1" customHeight="1">
      <c r="A81" s="62" t="s">
        <v>154</v>
      </c>
      <c r="B81" s="63" t="s">
        <v>147</v>
      </c>
      <c r="C81" s="64">
        <v>30000.0</v>
      </c>
      <c r="D81" s="65">
        <v>46235.0</v>
      </c>
      <c r="E81" s="65">
        <v>46266.0</v>
      </c>
      <c r="F81" s="66" t="s">
        <v>314</v>
      </c>
      <c r="G81" s="67" t="s">
        <v>199</v>
      </c>
      <c r="H81" s="67" t="s">
        <v>69</v>
      </c>
      <c r="I81" s="68" t="s">
        <v>200</v>
      </c>
      <c r="J81" s="66" t="str">
        <f t="shared" si="1"/>
        <v>08 - agosto</v>
      </c>
      <c r="K81" s="66" t="str">
        <f t="shared" si="2"/>
        <v>2026</v>
      </c>
      <c r="L81" s="6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</row>
    <row r="82" ht="22.5" hidden="1" customHeight="1">
      <c r="A82" s="70" t="s">
        <v>150</v>
      </c>
      <c r="B82" s="63" t="s">
        <v>147</v>
      </c>
      <c r="C82" s="71">
        <v>30000.0</v>
      </c>
      <c r="D82" s="72">
        <v>46235.0</v>
      </c>
      <c r="E82" s="72">
        <v>46259.0</v>
      </c>
      <c r="F82" s="73" t="s">
        <v>315</v>
      </c>
      <c r="G82" s="75" t="s">
        <v>199</v>
      </c>
      <c r="H82" s="75" t="s">
        <v>69</v>
      </c>
      <c r="I82" s="77" t="s">
        <v>200</v>
      </c>
      <c r="J82" s="73" t="str">
        <f t="shared" si="1"/>
        <v>08 - agosto</v>
      </c>
      <c r="K82" s="73" t="str">
        <f t="shared" si="2"/>
        <v>2026</v>
      </c>
      <c r="L82" s="80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</row>
    <row r="83" ht="22.5" hidden="1" customHeight="1">
      <c r="A83" s="62" t="s">
        <v>159</v>
      </c>
      <c r="B83" s="63" t="s">
        <v>147</v>
      </c>
      <c r="C83" s="64">
        <v>30000.0</v>
      </c>
      <c r="D83" s="65">
        <v>46235.0</v>
      </c>
      <c r="E83" s="65">
        <v>46266.0</v>
      </c>
      <c r="F83" s="66" t="s">
        <v>316</v>
      </c>
      <c r="G83" s="67" t="s">
        <v>199</v>
      </c>
      <c r="H83" s="67" t="s">
        <v>69</v>
      </c>
      <c r="I83" s="68" t="s">
        <v>200</v>
      </c>
      <c r="J83" s="66" t="str">
        <f t="shared" si="1"/>
        <v>08 - agosto</v>
      </c>
      <c r="K83" s="66" t="str">
        <f t="shared" si="2"/>
        <v>2026</v>
      </c>
      <c r="L83" s="6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</row>
    <row r="84" ht="22.5" hidden="1" customHeight="1">
      <c r="A84" s="70" t="s">
        <v>156</v>
      </c>
      <c r="B84" s="63" t="s">
        <v>147</v>
      </c>
      <c r="C84" s="71">
        <v>30000.0</v>
      </c>
      <c r="D84" s="72">
        <v>46235.0</v>
      </c>
      <c r="E84" s="72">
        <v>46237.0</v>
      </c>
      <c r="F84" s="73" t="s">
        <v>317</v>
      </c>
      <c r="G84" s="75" t="s">
        <v>199</v>
      </c>
      <c r="H84" s="75" t="s">
        <v>69</v>
      </c>
      <c r="I84" s="77" t="s">
        <v>200</v>
      </c>
      <c r="J84" s="73" t="str">
        <f t="shared" si="1"/>
        <v>08 - agosto</v>
      </c>
      <c r="K84" s="73" t="str">
        <f t="shared" si="2"/>
        <v>2026</v>
      </c>
      <c r="L84" s="80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</row>
    <row r="85" ht="22.5" hidden="1" customHeight="1">
      <c r="A85" s="62" t="s">
        <v>152</v>
      </c>
      <c r="B85" s="63" t="s">
        <v>147</v>
      </c>
      <c r="C85" s="64">
        <v>30000.0</v>
      </c>
      <c r="D85" s="65">
        <v>46235.0</v>
      </c>
      <c r="E85" s="65">
        <v>46241.0</v>
      </c>
      <c r="F85" s="66" t="s">
        <v>304</v>
      </c>
      <c r="G85" s="96" t="s">
        <v>206</v>
      </c>
      <c r="H85" s="67" t="s">
        <v>69</v>
      </c>
      <c r="I85" s="68" t="s">
        <v>200</v>
      </c>
      <c r="J85" s="66" t="str">
        <f t="shared" si="1"/>
        <v>08 - agosto</v>
      </c>
      <c r="K85" s="66" t="str">
        <f t="shared" si="2"/>
        <v>2026</v>
      </c>
      <c r="L85" s="6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</row>
    <row r="86" ht="22.5" hidden="1" customHeight="1">
      <c r="A86" s="70" t="s">
        <v>162</v>
      </c>
      <c r="B86" s="63" t="s">
        <v>147</v>
      </c>
      <c r="C86" s="71">
        <v>30000.0</v>
      </c>
      <c r="D86" s="72">
        <v>46235.0</v>
      </c>
      <c r="E86" s="72">
        <v>46268.0</v>
      </c>
      <c r="F86" s="73" t="s">
        <v>318</v>
      </c>
      <c r="G86" s="75" t="s">
        <v>199</v>
      </c>
      <c r="H86" s="75" t="s">
        <v>69</v>
      </c>
      <c r="I86" s="77" t="s">
        <v>200</v>
      </c>
      <c r="J86" s="73" t="str">
        <f t="shared" si="1"/>
        <v>08 - agosto</v>
      </c>
      <c r="K86" s="73" t="str">
        <f t="shared" si="2"/>
        <v>2026</v>
      </c>
      <c r="L86" s="80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</row>
    <row r="87" ht="22.5" hidden="1" customHeight="1">
      <c r="A87" s="62" t="s">
        <v>151</v>
      </c>
      <c r="B87" s="63" t="s">
        <v>147</v>
      </c>
      <c r="C87" s="64">
        <v>30000.0</v>
      </c>
      <c r="D87" s="65">
        <v>46235.0</v>
      </c>
      <c r="E87" s="65">
        <v>46296.0</v>
      </c>
      <c r="F87" s="66" t="s">
        <v>319</v>
      </c>
      <c r="G87" s="67" t="s">
        <v>199</v>
      </c>
      <c r="H87" s="67" t="s">
        <v>69</v>
      </c>
      <c r="I87" s="68" t="s">
        <v>200</v>
      </c>
      <c r="J87" s="66" t="str">
        <f t="shared" si="1"/>
        <v>08 - agosto</v>
      </c>
      <c r="K87" s="66" t="str">
        <f t="shared" si="2"/>
        <v>2026</v>
      </c>
      <c r="L87" s="6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</row>
    <row r="88" ht="22.5" hidden="1" customHeight="1">
      <c r="A88" s="70" t="s">
        <v>155</v>
      </c>
      <c r="B88" s="63" t="s">
        <v>147</v>
      </c>
      <c r="C88" s="71">
        <v>30000.0</v>
      </c>
      <c r="D88" s="72">
        <v>46235.0</v>
      </c>
      <c r="E88" s="72">
        <v>46238.0</v>
      </c>
      <c r="F88" s="73" t="s">
        <v>320</v>
      </c>
      <c r="G88" s="75" t="s">
        <v>199</v>
      </c>
      <c r="H88" s="75" t="s">
        <v>69</v>
      </c>
      <c r="I88" s="77" t="s">
        <v>200</v>
      </c>
      <c r="J88" s="73" t="str">
        <f t="shared" si="1"/>
        <v>08 - agosto</v>
      </c>
      <c r="K88" s="73" t="str">
        <f t="shared" si="2"/>
        <v>2026</v>
      </c>
      <c r="L88" s="80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</row>
    <row r="89" ht="22.5" hidden="1" customHeight="1">
      <c r="A89" s="62" t="s">
        <v>148</v>
      </c>
      <c r="B89" s="63" t="s">
        <v>147</v>
      </c>
      <c r="C89" s="64">
        <v>30000.0</v>
      </c>
      <c r="D89" s="65">
        <v>46235.0</v>
      </c>
      <c r="E89" s="65">
        <v>46237.0</v>
      </c>
      <c r="F89" s="66" t="s">
        <v>321</v>
      </c>
      <c r="G89" s="67" t="s">
        <v>199</v>
      </c>
      <c r="H89" s="67" t="s">
        <v>69</v>
      </c>
      <c r="I89" s="68" t="s">
        <v>200</v>
      </c>
      <c r="J89" s="66" t="str">
        <f t="shared" si="1"/>
        <v>08 - agosto</v>
      </c>
      <c r="K89" s="66" t="str">
        <f t="shared" si="2"/>
        <v>2026</v>
      </c>
      <c r="L89" s="6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</row>
    <row r="90" ht="22.5" hidden="1" customHeight="1">
      <c r="A90" s="70" t="s">
        <v>161</v>
      </c>
      <c r="B90" s="63" t="s">
        <v>147</v>
      </c>
      <c r="C90" s="71">
        <v>30000.0</v>
      </c>
      <c r="D90" s="72">
        <v>46235.0</v>
      </c>
      <c r="E90" s="72">
        <v>46235.0</v>
      </c>
      <c r="F90" s="73" t="s">
        <v>322</v>
      </c>
      <c r="G90" s="75" t="s">
        <v>218</v>
      </c>
      <c r="H90" s="75" t="s">
        <v>69</v>
      </c>
      <c r="I90" s="77" t="s">
        <v>200</v>
      </c>
      <c r="J90" s="73" t="str">
        <f t="shared" si="1"/>
        <v>08 - agosto</v>
      </c>
      <c r="K90" s="73" t="str">
        <f t="shared" si="2"/>
        <v>2026</v>
      </c>
      <c r="L90" s="80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</row>
    <row r="91" ht="22.5" hidden="1" customHeight="1">
      <c r="A91" s="62" t="s">
        <v>160</v>
      </c>
      <c r="B91" s="63" t="s">
        <v>147</v>
      </c>
      <c r="C91" s="64">
        <v>30000.0</v>
      </c>
      <c r="D91" s="65">
        <v>46235.0</v>
      </c>
      <c r="E91" s="65">
        <v>46275.0</v>
      </c>
      <c r="F91" s="66" t="s">
        <v>311</v>
      </c>
      <c r="G91" s="67" t="s">
        <v>199</v>
      </c>
      <c r="H91" s="67" t="s">
        <v>69</v>
      </c>
      <c r="I91" s="68" t="s">
        <v>200</v>
      </c>
      <c r="J91" s="66" t="str">
        <f t="shared" si="1"/>
        <v>08 - agosto</v>
      </c>
      <c r="K91" s="66" t="str">
        <f t="shared" si="2"/>
        <v>2026</v>
      </c>
      <c r="L91" s="6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</row>
    <row r="92" ht="22.5" hidden="1" customHeight="1">
      <c r="A92" s="70" t="s">
        <v>153</v>
      </c>
      <c r="B92" s="63" t="s">
        <v>147</v>
      </c>
      <c r="C92" s="71">
        <v>30000.0</v>
      </c>
      <c r="D92" s="72">
        <v>46235.0</v>
      </c>
      <c r="E92" s="72">
        <v>46245.0</v>
      </c>
      <c r="F92" s="73" t="s">
        <v>324</v>
      </c>
      <c r="G92" s="75" t="s">
        <v>218</v>
      </c>
      <c r="H92" s="75" t="s">
        <v>69</v>
      </c>
      <c r="I92" s="77" t="s">
        <v>200</v>
      </c>
      <c r="J92" s="73" t="str">
        <f t="shared" si="1"/>
        <v>08 - agosto</v>
      </c>
      <c r="K92" s="73" t="str">
        <f t="shared" si="2"/>
        <v>2026</v>
      </c>
      <c r="L92" s="80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 ht="22.5" hidden="1" customHeight="1">
      <c r="A93" s="62" t="s">
        <v>163</v>
      </c>
      <c r="B93" s="63" t="s">
        <v>147</v>
      </c>
      <c r="C93" s="64">
        <v>30000.0</v>
      </c>
      <c r="D93" s="65">
        <v>46235.0</v>
      </c>
      <c r="E93" s="65">
        <v>46234.0</v>
      </c>
      <c r="F93" s="66" t="s">
        <v>325</v>
      </c>
      <c r="G93" s="67" t="s">
        <v>199</v>
      </c>
      <c r="H93" s="67" t="s">
        <v>69</v>
      </c>
      <c r="I93" s="68" t="s">
        <v>200</v>
      </c>
      <c r="J93" s="66" t="str">
        <f t="shared" si="1"/>
        <v>08 - agosto</v>
      </c>
      <c r="K93" s="66" t="str">
        <f t="shared" si="2"/>
        <v>2026</v>
      </c>
      <c r="L93" s="6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 ht="22.5" hidden="1" customHeight="1">
      <c r="A94" s="70" t="s">
        <v>154</v>
      </c>
      <c r="B94" s="63" t="s">
        <v>147</v>
      </c>
      <c r="C94" s="71">
        <v>30000.0</v>
      </c>
      <c r="D94" s="72">
        <v>46266.0</v>
      </c>
      <c r="E94" s="72">
        <v>46283.0</v>
      </c>
      <c r="F94" s="73" t="s">
        <v>326</v>
      </c>
      <c r="G94" s="75" t="s">
        <v>199</v>
      </c>
      <c r="H94" s="75" t="s">
        <v>69</v>
      </c>
      <c r="I94" s="77" t="s">
        <v>200</v>
      </c>
      <c r="J94" s="73" t="str">
        <f t="shared" si="1"/>
        <v>09 - septiembre</v>
      </c>
      <c r="K94" s="73" t="str">
        <f t="shared" si="2"/>
        <v>2026</v>
      </c>
      <c r="L94" s="80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 ht="22.5" hidden="1" customHeight="1">
      <c r="A95" s="62" t="s">
        <v>150</v>
      </c>
      <c r="B95" s="63" t="s">
        <v>147</v>
      </c>
      <c r="C95" s="128">
        <v>30000.0</v>
      </c>
      <c r="D95" s="65">
        <v>46266.0</v>
      </c>
      <c r="E95" s="129">
        <v>46275.0</v>
      </c>
      <c r="F95" s="87"/>
      <c r="G95" s="130" t="s">
        <v>199</v>
      </c>
      <c r="H95" s="131" t="s">
        <v>69</v>
      </c>
      <c r="I95" s="68" t="s">
        <v>200</v>
      </c>
      <c r="J95" s="66" t="str">
        <f t="shared" si="1"/>
        <v>09 - septiembre</v>
      </c>
      <c r="K95" s="66" t="str">
        <f t="shared" si="2"/>
        <v>2026</v>
      </c>
      <c r="L95" s="6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 ht="22.5" hidden="1" customHeight="1">
      <c r="A96" s="70" t="s">
        <v>159</v>
      </c>
      <c r="B96" s="63" t="s">
        <v>147</v>
      </c>
      <c r="C96" s="71">
        <v>30000.0</v>
      </c>
      <c r="D96" s="72">
        <v>46266.0</v>
      </c>
      <c r="E96" s="72">
        <v>46266.0</v>
      </c>
      <c r="F96" s="73" t="s">
        <v>316</v>
      </c>
      <c r="G96" s="75" t="s">
        <v>199</v>
      </c>
      <c r="H96" s="75" t="s">
        <v>69</v>
      </c>
      <c r="I96" s="77" t="s">
        <v>200</v>
      </c>
      <c r="J96" s="73" t="str">
        <f t="shared" si="1"/>
        <v>09 - septiembre</v>
      </c>
      <c r="K96" s="73" t="str">
        <f t="shared" si="2"/>
        <v>2026</v>
      </c>
      <c r="L96" s="80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ht="22.5" hidden="1" customHeight="1">
      <c r="A97" s="62" t="s">
        <v>156</v>
      </c>
      <c r="B97" s="63" t="s">
        <v>147</v>
      </c>
      <c r="C97" s="64">
        <v>30000.0</v>
      </c>
      <c r="D97" s="65">
        <v>46266.0</v>
      </c>
      <c r="E97" s="65">
        <v>46266.0</v>
      </c>
      <c r="F97" s="66" t="s">
        <v>327</v>
      </c>
      <c r="G97" s="67" t="s">
        <v>199</v>
      </c>
      <c r="H97" s="67" t="s">
        <v>69</v>
      </c>
      <c r="I97" s="68" t="s">
        <v>200</v>
      </c>
      <c r="J97" s="66" t="str">
        <f t="shared" si="1"/>
        <v>09 - septiembre</v>
      </c>
      <c r="K97" s="66" t="str">
        <f t="shared" si="2"/>
        <v>2026</v>
      </c>
      <c r="L97" s="6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ht="22.5" hidden="1" customHeight="1">
      <c r="A98" s="70" t="s">
        <v>152</v>
      </c>
      <c r="B98" s="63" t="s">
        <v>147</v>
      </c>
      <c r="C98" s="71">
        <v>30000.0</v>
      </c>
      <c r="D98" s="72">
        <v>46266.0</v>
      </c>
      <c r="E98" s="72">
        <v>46296.0</v>
      </c>
      <c r="F98" s="132" t="s">
        <v>26</v>
      </c>
      <c r="G98" s="75" t="s">
        <v>199</v>
      </c>
      <c r="H98" s="75" t="s">
        <v>69</v>
      </c>
      <c r="I98" s="77" t="s">
        <v>200</v>
      </c>
      <c r="J98" s="73" t="str">
        <f t="shared" si="1"/>
        <v>09 - septiembre</v>
      </c>
      <c r="K98" s="73" t="str">
        <f t="shared" si="2"/>
        <v>2026</v>
      </c>
      <c r="L98" s="80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ht="22.5" hidden="1" customHeight="1">
      <c r="A99" s="62" t="s">
        <v>162</v>
      </c>
      <c r="B99" s="63" t="s">
        <v>147</v>
      </c>
      <c r="C99" s="64">
        <v>30000.0</v>
      </c>
      <c r="D99" s="65">
        <v>46266.0</v>
      </c>
      <c r="E99" s="129">
        <v>46276.0</v>
      </c>
      <c r="F99" s="66" t="s">
        <v>328</v>
      </c>
      <c r="G99" s="67" t="s">
        <v>199</v>
      </c>
      <c r="H99" s="67" t="s">
        <v>69</v>
      </c>
      <c r="I99" s="68" t="s">
        <v>200</v>
      </c>
      <c r="J99" s="66" t="str">
        <f t="shared" si="1"/>
        <v>09 - septiembre</v>
      </c>
      <c r="K99" s="66" t="str">
        <f t="shared" si="2"/>
        <v>2026</v>
      </c>
      <c r="L99" s="6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 ht="22.5" hidden="1" customHeight="1">
      <c r="A100" s="70" t="s">
        <v>151</v>
      </c>
      <c r="B100" s="63" t="s">
        <v>147</v>
      </c>
      <c r="C100" s="90"/>
      <c r="D100" s="72">
        <v>46266.0</v>
      </c>
      <c r="E100" s="83"/>
      <c r="F100" s="84"/>
      <c r="G100" s="91"/>
      <c r="H100" s="133" t="s">
        <v>70</v>
      </c>
      <c r="I100" s="77" t="s">
        <v>200</v>
      </c>
      <c r="J100" s="73" t="str">
        <f t="shared" si="1"/>
        <v>09 - septiembre</v>
      </c>
      <c r="K100" s="73" t="str">
        <f t="shared" si="2"/>
        <v>2026</v>
      </c>
      <c r="L100" s="80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 ht="22.5" hidden="1" customHeight="1">
      <c r="A101" s="62" t="s">
        <v>155</v>
      </c>
      <c r="B101" s="63" t="s">
        <v>147</v>
      </c>
      <c r="C101" s="64">
        <v>30000.0</v>
      </c>
      <c r="D101" s="65">
        <v>46266.0</v>
      </c>
      <c r="E101" s="65">
        <v>46267.0</v>
      </c>
      <c r="F101" s="66" t="s">
        <v>329</v>
      </c>
      <c r="G101" s="67" t="s">
        <v>199</v>
      </c>
      <c r="H101" s="67" t="s">
        <v>69</v>
      </c>
      <c r="I101" s="68" t="s">
        <v>200</v>
      </c>
      <c r="J101" s="66" t="str">
        <f t="shared" si="1"/>
        <v>09 - septiembre</v>
      </c>
      <c r="K101" s="66" t="str">
        <f t="shared" si="2"/>
        <v>2026</v>
      </c>
      <c r="L101" s="6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 ht="22.5" hidden="1" customHeight="1">
      <c r="A102" s="70" t="s">
        <v>148</v>
      </c>
      <c r="B102" s="63" t="s">
        <v>147</v>
      </c>
      <c r="C102" s="71">
        <v>30000.0</v>
      </c>
      <c r="D102" s="72">
        <v>46266.0</v>
      </c>
      <c r="E102" s="72">
        <v>46267.0</v>
      </c>
      <c r="F102" s="73" t="s">
        <v>330</v>
      </c>
      <c r="G102" s="75" t="s">
        <v>199</v>
      </c>
      <c r="H102" s="75" t="s">
        <v>69</v>
      </c>
      <c r="I102" s="77" t="s">
        <v>200</v>
      </c>
      <c r="J102" s="73" t="str">
        <f t="shared" si="1"/>
        <v>09 - septiembre</v>
      </c>
      <c r="K102" s="73" t="str">
        <f t="shared" si="2"/>
        <v>2026</v>
      </c>
      <c r="L102" s="80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 ht="22.5" hidden="1" customHeight="1">
      <c r="A103" s="62" t="s">
        <v>161</v>
      </c>
      <c r="B103" s="63" t="s">
        <v>147</v>
      </c>
      <c r="C103" s="64">
        <v>30000.0</v>
      </c>
      <c r="D103" s="65">
        <v>46266.0</v>
      </c>
      <c r="E103" s="86"/>
      <c r="F103" s="66" t="s">
        <v>331</v>
      </c>
      <c r="G103" s="67" t="s">
        <v>218</v>
      </c>
      <c r="H103" s="67" t="s">
        <v>69</v>
      </c>
      <c r="I103" s="68" t="s">
        <v>200</v>
      </c>
      <c r="J103" s="66" t="str">
        <f t="shared" si="1"/>
        <v>09 - septiembre</v>
      </c>
      <c r="K103" s="66" t="str">
        <f t="shared" si="2"/>
        <v>2026</v>
      </c>
      <c r="L103" s="6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 ht="22.5" hidden="1" customHeight="1">
      <c r="A104" s="70" t="s">
        <v>160</v>
      </c>
      <c r="B104" s="63" t="s">
        <v>147</v>
      </c>
      <c r="C104" s="71">
        <v>30000.0</v>
      </c>
      <c r="D104" s="72">
        <v>46266.0</v>
      </c>
      <c r="E104" s="72">
        <v>46297.0</v>
      </c>
      <c r="F104" s="132" t="s">
        <v>26</v>
      </c>
      <c r="G104" s="75" t="s">
        <v>199</v>
      </c>
      <c r="H104" s="75" t="s">
        <v>69</v>
      </c>
      <c r="I104" s="77" t="s">
        <v>200</v>
      </c>
      <c r="J104" s="73" t="str">
        <f t="shared" si="1"/>
        <v>09 - septiembre</v>
      </c>
      <c r="K104" s="73" t="str">
        <f t="shared" si="2"/>
        <v>2026</v>
      </c>
      <c r="L104" s="92" t="s">
        <v>332</v>
      </c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 ht="22.5" hidden="1" customHeight="1">
      <c r="A105" s="62" t="s">
        <v>153</v>
      </c>
      <c r="B105" s="63" t="s">
        <v>147</v>
      </c>
      <c r="C105" s="64">
        <v>30000.0</v>
      </c>
      <c r="D105" s="65">
        <v>46266.0</v>
      </c>
      <c r="E105" s="65">
        <v>46283.0</v>
      </c>
      <c r="F105" s="66" t="s">
        <v>333</v>
      </c>
      <c r="G105" s="67" t="s">
        <v>218</v>
      </c>
      <c r="H105" s="67" t="s">
        <v>69</v>
      </c>
      <c r="I105" s="68" t="s">
        <v>200</v>
      </c>
      <c r="J105" s="66" t="str">
        <f t="shared" si="1"/>
        <v>09 - septiembre</v>
      </c>
      <c r="K105" s="66" t="str">
        <f t="shared" si="2"/>
        <v>2026</v>
      </c>
      <c r="L105" s="6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ht="22.5" hidden="1" customHeight="1">
      <c r="A106" s="70" t="s">
        <v>163</v>
      </c>
      <c r="B106" s="63" t="s">
        <v>147</v>
      </c>
      <c r="C106" s="90"/>
      <c r="D106" s="72">
        <v>46266.0</v>
      </c>
      <c r="E106" s="83"/>
      <c r="F106" s="84"/>
      <c r="G106" s="91"/>
      <c r="H106" s="133" t="s">
        <v>70</v>
      </c>
      <c r="I106" s="77" t="s">
        <v>200</v>
      </c>
      <c r="J106" s="73" t="str">
        <f t="shared" si="1"/>
        <v>09 - septiembre</v>
      </c>
      <c r="K106" s="73" t="str">
        <f t="shared" si="2"/>
        <v>2026</v>
      </c>
      <c r="L106" s="80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 ht="22.5" hidden="1" customHeight="1">
      <c r="A107" s="62" t="s">
        <v>154</v>
      </c>
      <c r="B107" s="63" t="s">
        <v>147</v>
      </c>
      <c r="C107" s="93"/>
      <c r="D107" s="65">
        <v>46296.0</v>
      </c>
      <c r="E107" s="86"/>
      <c r="F107" s="87"/>
      <c r="G107" s="95"/>
      <c r="H107" s="115" t="s">
        <v>70</v>
      </c>
      <c r="I107" s="68" t="s">
        <v>200</v>
      </c>
      <c r="J107" s="66" t="str">
        <f t="shared" si="1"/>
        <v>10 - octubre</v>
      </c>
      <c r="K107" s="66" t="str">
        <f t="shared" si="2"/>
        <v>2026</v>
      </c>
      <c r="L107" s="6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 ht="22.5" hidden="1" customHeight="1">
      <c r="A108" s="70" t="s">
        <v>150</v>
      </c>
      <c r="B108" s="63" t="s">
        <v>147</v>
      </c>
      <c r="C108" s="128">
        <v>30000.0</v>
      </c>
      <c r="D108" s="72">
        <v>46296.0</v>
      </c>
      <c r="E108" s="134">
        <v>46300.0</v>
      </c>
      <c r="F108" s="135" t="s">
        <v>26</v>
      </c>
      <c r="G108" s="136" t="s">
        <v>199</v>
      </c>
      <c r="H108" s="137" t="s">
        <v>69</v>
      </c>
      <c r="I108" s="77" t="s">
        <v>200</v>
      </c>
      <c r="J108" s="73" t="str">
        <f t="shared" si="1"/>
        <v>10 - octubre</v>
      </c>
      <c r="K108" s="73" t="str">
        <f t="shared" si="2"/>
        <v>2026</v>
      </c>
      <c r="L108" s="80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 ht="22.5" hidden="1" customHeight="1">
      <c r="A109" s="62" t="s">
        <v>159</v>
      </c>
      <c r="B109" s="63" t="s">
        <v>147</v>
      </c>
      <c r="C109" s="64">
        <v>30000.0</v>
      </c>
      <c r="D109" s="65">
        <v>46296.0</v>
      </c>
      <c r="E109" s="65">
        <v>46296.0</v>
      </c>
      <c r="F109" s="138" t="s">
        <v>26</v>
      </c>
      <c r="G109" s="67" t="s">
        <v>199</v>
      </c>
      <c r="H109" s="67" t="s">
        <v>69</v>
      </c>
      <c r="I109" s="68" t="s">
        <v>200</v>
      </c>
      <c r="J109" s="66" t="str">
        <f t="shared" si="1"/>
        <v>10 - octubre</v>
      </c>
      <c r="K109" s="66" t="str">
        <f t="shared" si="2"/>
        <v>2026</v>
      </c>
      <c r="L109" s="6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 ht="22.5" hidden="1" customHeight="1">
      <c r="A110" s="70" t="s">
        <v>156</v>
      </c>
      <c r="B110" s="63" t="s">
        <v>147</v>
      </c>
      <c r="C110" s="71">
        <v>30000.0</v>
      </c>
      <c r="D110" s="72">
        <v>46296.0</v>
      </c>
      <c r="E110" s="72">
        <v>46296.0</v>
      </c>
      <c r="F110" s="132" t="s">
        <v>26</v>
      </c>
      <c r="G110" s="75" t="s">
        <v>199</v>
      </c>
      <c r="H110" s="75" t="s">
        <v>69</v>
      </c>
      <c r="I110" s="77" t="s">
        <v>200</v>
      </c>
      <c r="J110" s="73" t="str">
        <f t="shared" si="1"/>
        <v>10 - octubre</v>
      </c>
      <c r="K110" s="73" t="str">
        <f t="shared" si="2"/>
        <v>2026</v>
      </c>
      <c r="L110" s="80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 ht="22.5" hidden="1" customHeight="1">
      <c r="A111" s="62" t="s">
        <v>152</v>
      </c>
      <c r="B111" s="63" t="s">
        <v>147</v>
      </c>
      <c r="C111" s="93"/>
      <c r="D111" s="65">
        <v>46296.0</v>
      </c>
      <c r="E111" s="86"/>
      <c r="F111" s="87"/>
      <c r="G111" s="95"/>
      <c r="H111" s="115" t="s">
        <v>70</v>
      </c>
      <c r="I111" s="68" t="s">
        <v>200</v>
      </c>
      <c r="J111" s="66" t="str">
        <f t="shared" si="1"/>
        <v>10 - octubre</v>
      </c>
      <c r="K111" s="66" t="str">
        <f t="shared" si="2"/>
        <v>2026</v>
      </c>
      <c r="L111" s="6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 ht="22.5" hidden="1" customHeight="1">
      <c r="A112" s="70" t="s">
        <v>162</v>
      </c>
      <c r="B112" s="63" t="s">
        <v>147</v>
      </c>
      <c r="C112" s="90"/>
      <c r="D112" s="72">
        <v>46296.0</v>
      </c>
      <c r="E112" s="83"/>
      <c r="F112" s="84"/>
      <c r="G112" s="91"/>
      <c r="H112" s="133" t="s">
        <v>70</v>
      </c>
      <c r="I112" s="77" t="s">
        <v>200</v>
      </c>
      <c r="J112" s="73" t="str">
        <f t="shared" si="1"/>
        <v>10 - octubre</v>
      </c>
      <c r="K112" s="73" t="str">
        <f t="shared" si="2"/>
        <v>2026</v>
      </c>
      <c r="L112" s="80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 ht="22.5" hidden="1" customHeight="1">
      <c r="A113" s="62" t="s">
        <v>151</v>
      </c>
      <c r="B113" s="63" t="s">
        <v>147</v>
      </c>
      <c r="C113" s="93"/>
      <c r="D113" s="65">
        <v>46296.0</v>
      </c>
      <c r="E113" s="86"/>
      <c r="F113" s="87"/>
      <c r="G113" s="95"/>
      <c r="H113" s="115" t="s">
        <v>70</v>
      </c>
      <c r="I113" s="68" t="s">
        <v>200</v>
      </c>
      <c r="J113" s="66" t="str">
        <f t="shared" si="1"/>
        <v>10 - octubre</v>
      </c>
      <c r="K113" s="66" t="str">
        <f t="shared" si="2"/>
        <v>2026</v>
      </c>
      <c r="L113" s="6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 ht="22.5" hidden="1" customHeight="1">
      <c r="A114" s="70" t="s">
        <v>155</v>
      </c>
      <c r="B114" s="63" t="s">
        <v>147</v>
      </c>
      <c r="C114" s="90"/>
      <c r="D114" s="72">
        <v>46296.0</v>
      </c>
      <c r="E114" s="83"/>
      <c r="F114" s="84"/>
      <c r="G114" s="91"/>
      <c r="H114" s="133" t="s">
        <v>70</v>
      </c>
      <c r="I114" s="77" t="s">
        <v>200</v>
      </c>
      <c r="J114" s="73" t="str">
        <f t="shared" si="1"/>
        <v>10 - octubre</v>
      </c>
      <c r="K114" s="73" t="str">
        <f t="shared" si="2"/>
        <v>2026</v>
      </c>
      <c r="L114" s="80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 ht="22.5" hidden="1" customHeight="1">
      <c r="A115" s="62" t="s">
        <v>148</v>
      </c>
      <c r="B115" s="63" t="s">
        <v>147</v>
      </c>
      <c r="C115" s="64">
        <v>30000.0</v>
      </c>
      <c r="D115" s="65">
        <v>46296.0</v>
      </c>
      <c r="E115" s="65">
        <v>46297.0</v>
      </c>
      <c r="F115" s="138" t="s">
        <v>26</v>
      </c>
      <c r="G115" s="67" t="s">
        <v>199</v>
      </c>
      <c r="H115" s="67" t="s">
        <v>69</v>
      </c>
      <c r="I115" s="68" t="s">
        <v>200</v>
      </c>
      <c r="J115" s="66" t="str">
        <f t="shared" si="1"/>
        <v>10 - octubre</v>
      </c>
      <c r="K115" s="66" t="str">
        <f t="shared" si="2"/>
        <v>2026</v>
      </c>
      <c r="L115" s="6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 ht="22.5" hidden="1" customHeight="1">
      <c r="A116" s="70" t="s">
        <v>161</v>
      </c>
      <c r="B116" s="63" t="s">
        <v>147</v>
      </c>
      <c r="C116" s="71">
        <v>30000.0</v>
      </c>
      <c r="D116" s="72">
        <v>46296.0</v>
      </c>
      <c r="E116" s="72">
        <v>46297.0</v>
      </c>
      <c r="F116" s="132" t="s">
        <v>26</v>
      </c>
      <c r="G116" s="75" t="s">
        <v>199</v>
      </c>
      <c r="H116" s="75" t="s">
        <v>69</v>
      </c>
      <c r="I116" s="77" t="s">
        <v>200</v>
      </c>
      <c r="J116" s="73" t="str">
        <f t="shared" si="1"/>
        <v>10 - octubre</v>
      </c>
      <c r="K116" s="73" t="str">
        <f t="shared" si="2"/>
        <v>2026</v>
      </c>
      <c r="L116" s="92" t="s">
        <v>334</v>
      </c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ht="22.5" hidden="1" customHeight="1">
      <c r="A117" s="62" t="s">
        <v>160</v>
      </c>
      <c r="B117" s="63" t="s">
        <v>147</v>
      </c>
      <c r="C117" s="64">
        <v>30000.0</v>
      </c>
      <c r="D117" s="65">
        <v>46296.0</v>
      </c>
      <c r="E117" s="65">
        <v>46297.0</v>
      </c>
      <c r="F117" s="138" t="s">
        <v>26</v>
      </c>
      <c r="G117" s="67" t="s">
        <v>199</v>
      </c>
      <c r="H117" s="67" t="s">
        <v>69</v>
      </c>
      <c r="I117" s="68" t="s">
        <v>200</v>
      </c>
      <c r="J117" s="66" t="str">
        <f t="shared" si="1"/>
        <v>10 - octubre</v>
      </c>
      <c r="K117" s="66" t="str">
        <f t="shared" si="2"/>
        <v>2026</v>
      </c>
      <c r="L117" s="99" t="s">
        <v>332</v>
      </c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 ht="22.5" hidden="1" customHeight="1">
      <c r="A118" s="70" t="s">
        <v>153</v>
      </c>
      <c r="B118" s="63" t="s">
        <v>147</v>
      </c>
      <c r="C118" s="71">
        <v>30000.0</v>
      </c>
      <c r="D118" s="72">
        <v>46296.0</v>
      </c>
      <c r="E118" s="72">
        <v>46297.0</v>
      </c>
      <c r="F118" s="132" t="s">
        <v>26</v>
      </c>
      <c r="G118" s="75" t="s">
        <v>218</v>
      </c>
      <c r="H118" s="75" t="s">
        <v>69</v>
      </c>
      <c r="I118" s="77" t="s">
        <v>200</v>
      </c>
      <c r="J118" s="73" t="str">
        <f t="shared" si="1"/>
        <v>10 - octubre</v>
      </c>
      <c r="K118" s="73" t="str">
        <f t="shared" si="2"/>
        <v>2026</v>
      </c>
      <c r="L118" s="80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 ht="22.5" hidden="1" customHeight="1">
      <c r="A119" s="62" t="s">
        <v>163</v>
      </c>
      <c r="B119" s="63" t="s">
        <v>147</v>
      </c>
      <c r="C119" s="64">
        <v>30000.0</v>
      </c>
      <c r="D119" s="65">
        <v>46296.0</v>
      </c>
      <c r="E119" s="65">
        <v>46297.0</v>
      </c>
      <c r="F119" s="138" t="s">
        <v>26</v>
      </c>
      <c r="G119" s="67" t="s">
        <v>199</v>
      </c>
      <c r="H119" s="67" t="s">
        <v>69</v>
      </c>
      <c r="I119" s="68" t="s">
        <v>200</v>
      </c>
      <c r="J119" s="66" t="str">
        <f t="shared" si="1"/>
        <v>10 - octubre</v>
      </c>
      <c r="K119" s="66" t="str">
        <f t="shared" si="2"/>
        <v>2026</v>
      </c>
      <c r="L119" s="6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 ht="22.5" hidden="1" customHeight="1">
      <c r="A120" s="70" t="s">
        <v>158</v>
      </c>
      <c r="B120" s="63" t="s">
        <v>147</v>
      </c>
      <c r="C120" s="71">
        <v>30000.0</v>
      </c>
      <c r="D120" s="72">
        <v>46296.0</v>
      </c>
      <c r="E120" s="72">
        <v>46296.0</v>
      </c>
      <c r="F120" s="132" t="s">
        <v>26</v>
      </c>
      <c r="G120" s="133" t="s">
        <v>222</v>
      </c>
      <c r="H120" s="75" t="s">
        <v>69</v>
      </c>
      <c r="I120" s="77" t="s">
        <v>200</v>
      </c>
      <c r="J120" s="73" t="str">
        <f t="shared" si="1"/>
        <v>10 - octubre</v>
      </c>
      <c r="K120" s="73" t="str">
        <f t="shared" si="2"/>
        <v>2026</v>
      </c>
      <c r="L120" s="80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 ht="22.5" hidden="1" customHeight="1">
      <c r="A121" s="139" t="s">
        <v>158</v>
      </c>
      <c r="B121" s="63" t="s">
        <v>147</v>
      </c>
      <c r="C121" s="140"/>
      <c r="D121" s="141">
        <v>46266.0</v>
      </c>
      <c r="E121" s="142"/>
      <c r="F121" s="143"/>
      <c r="G121" s="144"/>
      <c r="H121" s="145" t="s">
        <v>68</v>
      </c>
      <c r="I121" s="146" t="s">
        <v>200</v>
      </c>
      <c r="J121" s="147" t="str">
        <f t="shared" si="1"/>
        <v>09 - septiembre</v>
      </c>
      <c r="K121" s="147" t="str">
        <f t="shared" si="2"/>
        <v>2026</v>
      </c>
      <c r="L121" s="148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 ht="22.5" hidden="1" customHeight="1">
      <c r="A122" s="68" t="s">
        <v>137</v>
      </c>
      <c r="B122" s="63" t="s">
        <v>135</v>
      </c>
      <c r="C122" s="64">
        <v>25000.0</v>
      </c>
      <c r="D122" s="65">
        <v>46054.0</v>
      </c>
      <c r="E122" s="65">
        <v>46054.0</v>
      </c>
      <c r="F122" s="87"/>
      <c r="G122" s="96" t="s">
        <v>206</v>
      </c>
      <c r="H122" s="67" t="s">
        <v>69</v>
      </c>
      <c r="I122" s="149" t="s">
        <v>267</v>
      </c>
      <c r="J122" s="66" t="str">
        <f t="shared" si="1"/>
        <v>02 - febrero</v>
      </c>
      <c r="K122" s="66" t="str">
        <f t="shared" si="2"/>
        <v>2026</v>
      </c>
      <c r="L122" s="69"/>
    </row>
    <row r="123" ht="22.5" hidden="1" customHeight="1">
      <c r="A123" s="77" t="s">
        <v>138</v>
      </c>
      <c r="B123" s="63" t="s">
        <v>135</v>
      </c>
      <c r="C123" s="71">
        <v>25000.0</v>
      </c>
      <c r="D123" s="72">
        <v>46054.0</v>
      </c>
      <c r="E123" s="72">
        <v>46054.0</v>
      </c>
      <c r="F123" s="84"/>
      <c r="G123" s="85" t="s">
        <v>206</v>
      </c>
      <c r="H123" s="75" t="s">
        <v>69</v>
      </c>
      <c r="I123" s="149" t="s">
        <v>267</v>
      </c>
      <c r="J123" s="150" t="str">
        <f t="shared" si="1"/>
        <v>02 - febrero</v>
      </c>
      <c r="K123" s="150" t="str">
        <f t="shared" si="2"/>
        <v>2026</v>
      </c>
      <c r="L123" s="80"/>
    </row>
    <row r="124" ht="22.5" hidden="1" customHeight="1">
      <c r="A124" s="68" t="s">
        <v>140</v>
      </c>
      <c r="B124" s="63" t="s">
        <v>135</v>
      </c>
      <c r="C124" s="93"/>
      <c r="D124" s="65">
        <v>46054.0</v>
      </c>
      <c r="E124" s="86"/>
      <c r="F124" s="87"/>
      <c r="G124" s="95"/>
      <c r="H124" s="115" t="s">
        <v>70</v>
      </c>
      <c r="I124" s="149" t="s">
        <v>267</v>
      </c>
      <c r="J124" s="66" t="str">
        <f t="shared" si="1"/>
        <v>02 - febrero</v>
      </c>
      <c r="K124" s="66" t="str">
        <f t="shared" si="2"/>
        <v>2026</v>
      </c>
      <c r="L124" s="69"/>
    </row>
    <row r="125" ht="22.5" hidden="1" customHeight="1">
      <c r="A125" s="77" t="s">
        <v>141</v>
      </c>
      <c r="B125" s="63" t="s">
        <v>135</v>
      </c>
      <c r="C125" s="71">
        <v>25000.0</v>
      </c>
      <c r="D125" s="72">
        <v>46054.0</v>
      </c>
      <c r="E125" s="72">
        <v>46054.0</v>
      </c>
      <c r="F125" s="84"/>
      <c r="G125" s="85" t="s">
        <v>206</v>
      </c>
      <c r="H125" s="75" t="s">
        <v>69</v>
      </c>
      <c r="I125" s="149" t="s">
        <v>267</v>
      </c>
      <c r="J125" s="150" t="str">
        <f t="shared" si="1"/>
        <v>02 - febrero</v>
      </c>
      <c r="K125" s="150" t="str">
        <f t="shared" si="2"/>
        <v>2026</v>
      </c>
      <c r="L125" s="80"/>
    </row>
    <row r="126" ht="22.5" hidden="1" customHeight="1">
      <c r="A126" s="68" t="s">
        <v>142</v>
      </c>
      <c r="B126" s="63" t="s">
        <v>135</v>
      </c>
      <c r="C126" s="93"/>
      <c r="D126" s="65">
        <v>46054.0</v>
      </c>
      <c r="E126" s="86"/>
      <c r="F126" s="87"/>
      <c r="G126" s="95"/>
      <c r="H126" s="115" t="s">
        <v>70</v>
      </c>
      <c r="I126" s="149" t="s">
        <v>267</v>
      </c>
      <c r="J126" s="66" t="str">
        <f t="shared" si="1"/>
        <v>02 - febrero</v>
      </c>
      <c r="K126" s="66" t="str">
        <f t="shared" si="2"/>
        <v>2026</v>
      </c>
      <c r="L126" s="69"/>
    </row>
    <row r="127" ht="22.5" hidden="1" customHeight="1">
      <c r="A127" s="77" t="s">
        <v>143</v>
      </c>
      <c r="B127" s="63" t="s">
        <v>135</v>
      </c>
      <c r="C127" s="71">
        <v>25000.0</v>
      </c>
      <c r="D127" s="72">
        <v>46054.0</v>
      </c>
      <c r="E127" s="72">
        <v>46054.0</v>
      </c>
      <c r="F127" s="84"/>
      <c r="G127" s="85" t="s">
        <v>206</v>
      </c>
      <c r="H127" s="75" t="s">
        <v>69</v>
      </c>
      <c r="I127" s="149" t="s">
        <v>267</v>
      </c>
      <c r="J127" s="150" t="str">
        <f t="shared" si="1"/>
        <v>02 - febrero</v>
      </c>
      <c r="K127" s="150" t="str">
        <f t="shared" si="2"/>
        <v>2026</v>
      </c>
      <c r="L127" s="80"/>
    </row>
    <row r="128" ht="22.5" hidden="1" customHeight="1">
      <c r="A128" s="68" t="s">
        <v>144</v>
      </c>
      <c r="B128" s="63" t="s">
        <v>135</v>
      </c>
      <c r="C128" s="64">
        <v>25000.0</v>
      </c>
      <c r="D128" s="65">
        <v>46054.0</v>
      </c>
      <c r="E128" s="65">
        <v>46054.0</v>
      </c>
      <c r="F128" s="87"/>
      <c r="G128" s="96" t="s">
        <v>206</v>
      </c>
      <c r="H128" s="67" t="s">
        <v>69</v>
      </c>
      <c r="I128" s="149" t="s">
        <v>267</v>
      </c>
      <c r="J128" s="66" t="str">
        <f t="shared" si="1"/>
        <v>02 - febrero</v>
      </c>
      <c r="K128" s="66" t="str">
        <f t="shared" si="2"/>
        <v>2026</v>
      </c>
      <c r="L128" s="69"/>
    </row>
    <row r="129" ht="22.5" hidden="1" customHeight="1">
      <c r="A129" s="77" t="s">
        <v>136</v>
      </c>
      <c r="B129" s="63" t="s">
        <v>135</v>
      </c>
      <c r="C129" s="90"/>
      <c r="D129" s="72">
        <v>46054.0</v>
      </c>
      <c r="E129" s="83"/>
      <c r="F129" s="84"/>
      <c r="G129" s="91"/>
      <c r="H129" s="133" t="s">
        <v>70</v>
      </c>
      <c r="I129" s="149" t="s">
        <v>267</v>
      </c>
      <c r="J129" s="150" t="str">
        <f t="shared" si="1"/>
        <v>02 - febrero</v>
      </c>
      <c r="K129" s="150" t="str">
        <f t="shared" si="2"/>
        <v>2026</v>
      </c>
      <c r="L129" s="80"/>
    </row>
    <row r="130" ht="22.5" hidden="1" customHeight="1">
      <c r="A130" s="68" t="s">
        <v>145</v>
      </c>
      <c r="B130" s="63" t="s">
        <v>135</v>
      </c>
      <c r="C130" s="93"/>
      <c r="D130" s="65">
        <v>46054.0</v>
      </c>
      <c r="E130" s="86"/>
      <c r="F130" s="87"/>
      <c r="G130" s="95"/>
      <c r="H130" s="115" t="s">
        <v>70</v>
      </c>
      <c r="I130" s="149" t="s">
        <v>267</v>
      </c>
      <c r="J130" s="66" t="str">
        <f t="shared" si="1"/>
        <v>02 - febrero</v>
      </c>
      <c r="K130" s="66" t="str">
        <f t="shared" si="2"/>
        <v>2026</v>
      </c>
      <c r="L130" s="69"/>
    </row>
    <row r="131" ht="22.5" hidden="1" customHeight="1">
      <c r="A131" s="151" t="s">
        <v>137</v>
      </c>
      <c r="B131" s="63" t="s">
        <v>135</v>
      </c>
      <c r="C131" s="71">
        <v>30000.0</v>
      </c>
      <c r="D131" s="72">
        <v>46082.0</v>
      </c>
      <c r="E131" s="72">
        <v>46082.0</v>
      </c>
      <c r="F131" s="84"/>
      <c r="G131" s="85" t="s">
        <v>206</v>
      </c>
      <c r="H131" s="75" t="s">
        <v>69</v>
      </c>
      <c r="I131" s="149" t="s">
        <v>267</v>
      </c>
      <c r="J131" s="150" t="str">
        <f t="shared" si="1"/>
        <v>03 - marzo</v>
      </c>
      <c r="K131" s="150" t="str">
        <f t="shared" si="2"/>
        <v>2026</v>
      </c>
      <c r="L131" s="80"/>
    </row>
    <row r="132" ht="22.5" hidden="1" customHeight="1">
      <c r="A132" s="152" t="s">
        <v>138</v>
      </c>
      <c r="B132" s="63" t="s">
        <v>135</v>
      </c>
      <c r="C132" s="64">
        <v>30000.0</v>
      </c>
      <c r="D132" s="65">
        <v>46082.0</v>
      </c>
      <c r="E132" s="65">
        <v>46082.0</v>
      </c>
      <c r="F132" s="87"/>
      <c r="G132" s="96" t="s">
        <v>206</v>
      </c>
      <c r="H132" s="67" t="s">
        <v>69</v>
      </c>
      <c r="I132" s="149" t="s">
        <v>267</v>
      </c>
      <c r="J132" s="66" t="str">
        <f t="shared" si="1"/>
        <v>03 - marzo</v>
      </c>
      <c r="K132" s="66" t="str">
        <f t="shared" si="2"/>
        <v>2026</v>
      </c>
      <c r="L132" s="69"/>
    </row>
    <row r="133" ht="22.5" hidden="1" customHeight="1">
      <c r="A133" s="151" t="s">
        <v>140</v>
      </c>
      <c r="B133" s="63" t="s">
        <v>135</v>
      </c>
      <c r="C133" s="90"/>
      <c r="D133" s="72">
        <v>46082.0</v>
      </c>
      <c r="E133" s="83"/>
      <c r="F133" s="84"/>
      <c r="G133" s="91"/>
      <c r="H133" s="133" t="s">
        <v>70</v>
      </c>
      <c r="I133" s="149" t="s">
        <v>267</v>
      </c>
      <c r="J133" s="150" t="str">
        <f t="shared" si="1"/>
        <v>03 - marzo</v>
      </c>
      <c r="K133" s="150" t="str">
        <f t="shared" si="2"/>
        <v>2026</v>
      </c>
      <c r="L133" s="80"/>
    </row>
    <row r="134" ht="22.5" hidden="1" customHeight="1">
      <c r="A134" s="152" t="s">
        <v>141</v>
      </c>
      <c r="B134" s="63" t="s">
        <v>135</v>
      </c>
      <c r="C134" s="93"/>
      <c r="D134" s="65">
        <v>46082.0</v>
      </c>
      <c r="E134" s="86"/>
      <c r="F134" s="87"/>
      <c r="G134" s="95"/>
      <c r="H134" s="115" t="s">
        <v>70</v>
      </c>
      <c r="I134" s="149" t="s">
        <v>267</v>
      </c>
      <c r="J134" s="66" t="str">
        <f t="shared" si="1"/>
        <v>03 - marzo</v>
      </c>
      <c r="K134" s="66" t="str">
        <f t="shared" si="2"/>
        <v>2026</v>
      </c>
      <c r="L134" s="69"/>
    </row>
    <row r="135" ht="22.5" hidden="1" customHeight="1">
      <c r="A135" s="151" t="s">
        <v>142</v>
      </c>
      <c r="B135" s="63" t="s">
        <v>135</v>
      </c>
      <c r="C135" s="90"/>
      <c r="D135" s="72">
        <v>46082.0</v>
      </c>
      <c r="E135" s="83"/>
      <c r="F135" s="84"/>
      <c r="G135" s="91"/>
      <c r="H135" s="133" t="s">
        <v>70</v>
      </c>
      <c r="I135" s="149" t="s">
        <v>267</v>
      </c>
      <c r="J135" s="150" t="str">
        <f t="shared" si="1"/>
        <v>03 - marzo</v>
      </c>
      <c r="K135" s="150" t="str">
        <f t="shared" si="2"/>
        <v>2026</v>
      </c>
      <c r="L135" s="80"/>
    </row>
    <row r="136" ht="22.5" hidden="1" customHeight="1">
      <c r="A136" s="152" t="s">
        <v>143</v>
      </c>
      <c r="B136" s="63" t="s">
        <v>135</v>
      </c>
      <c r="C136" s="64">
        <v>30000.0</v>
      </c>
      <c r="D136" s="65">
        <v>46082.0</v>
      </c>
      <c r="E136" s="65">
        <v>46082.0</v>
      </c>
      <c r="F136" s="87"/>
      <c r="G136" s="96" t="s">
        <v>206</v>
      </c>
      <c r="H136" s="67" t="s">
        <v>69</v>
      </c>
      <c r="I136" s="149" t="s">
        <v>267</v>
      </c>
      <c r="J136" s="66" t="str">
        <f t="shared" si="1"/>
        <v>03 - marzo</v>
      </c>
      <c r="K136" s="66" t="str">
        <f t="shared" si="2"/>
        <v>2026</v>
      </c>
      <c r="L136" s="69"/>
    </row>
    <row r="137" ht="22.5" hidden="1" customHeight="1">
      <c r="A137" s="151" t="s">
        <v>144</v>
      </c>
      <c r="B137" s="63" t="s">
        <v>135</v>
      </c>
      <c r="C137" s="71">
        <v>30000.0</v>
      </c>
      <c r="D137" s="72">
        <v>46082.0</v>
      </c>
      <c r="E137" s="72">
        <v>46082.0</v>
      </c>
      <c r="F137" s="84"/>
      <c r="G137" s="85" t="s">
        <v>206</v>
      </c>
      <c r="H137" s="75" t="s">
        <v>69</v>
      </c>
      <c r="I137" s="149" t="s">
        <v>267</v>
      </c>
      <c r="J137" s="150" t="str">
        <f t="shared" si="1"/>
        <v>03 - marzo</v>
      </c>
      <c r="K137" s="150" t="str">
        <f t="shared" si="2"/>
        <v>2026</v>
      </c>
      <c r="L137" s="80"/>
    </row>
    <row r="138" ht="22.5" hidden="1" customHeight="1">
      <c r="A138" s="152" t="s">
        <v>136</v>
      </c>
      <c r="B138" s="63" t="s">
        <v>135</v>
      </c>
      <c r="C138" s="64">
        <v>30000.0</v>
      </c>
      <c r="D138" s="65">
        <v>46082.0</v>
      </c>
      <c r="E138" s="65">
        <v>46082.0</v>
      </c>
      <c r="F138" s="87"/>
      <c r="G138" s="96" t="s">
        <v>206</v>
      </c>
      <c r="H138" s="67" t="s">
        <v>69</v>
      </c>
      <c r="I138" s="149" t="s">
        <v>267</v>
      </c>
      <c r="J138" s="66" t="str">
        <f t="shared" si="1"/>
        <v>03 - marzo</v>
      </c>
      <c r="K138" s="66" t="str">
        <f t="shared" si="2"/>
        <v>2026</v>
      </c>
      <c r="L138" s="69"/>
    </row>
    <row r="139" ht="22.5" hidden="1" customHeight="1">
      <c r="A139" s="151" t="s">
        <v>145</v>
      </c>
      <c r="B139" s="63" t="s">
        <v>135</v>
      </c>
      <c r="C139" s="90"/>
      <c r="D139" s="72">
        <v>46082.0</v>
      </c>
      <c r="E139" s="83"/>
      <c r="F139" s="84"/>
      <c r="G139" s="91"/>
      <c r="H139" s="133" t="s">
        <v>70</v>
      </c>
      <c r="I139" s="149" t="s">
        <v>267</v>
      </c>
      <c r="J139" s="150" t="str">
        <f t="shared" si="1"/>
        <v>03 - marzo</v>
      </c>
      <c r="K139" s="150" t="str">
        <f t="shared" si="2"/>
        <v>2026</v>
      </c>
      <c r="L139" s="80"/>
    </row>
    <row r="140" ht="22.5" hidden="1" customHeight="1">
      <c r="A140" s="68" t="s">
        <v>137</v>
      </c>
      <c r="B140" s="63" t="s">
        <v>135</v>
      </c>
      <c r="C140" s="64">
        <v>30000.0</v>
      </c>
      <c r="D140" s="65">
        <v>46113.0</v>
      </c>
      <c r="E140" s="65">
        <v>46113.0</v>
      </c>
      <c r="F140" s="87"/>
      <c r="G140" s="96" t="s">
        <v>206</v>
      </c>
      <c r="H140" s="67" t="s">
        <v>69</v>
      </c>
      <c r="I140" s="149" t="s">
        <v>267</v>
      </c>
      <c r="J140" s="66" t="str">
        <f t="shared" si="1"/>
        <v>04 - abril</v>
      </c>
      <c r="K140" s="66" t="str">
        <f t="shared" si="2"/>
        <v>2026</v>
      </c>
      <c r="L140" s="69"/>
    </row>
    <row r="141" ht="22.5" hidden="1" customHeight="1">
      <c r="A141" s="77" t="s">
        <v>138</v>
      </c>
      <c r="B141" s="63" t="s">
        <v>135</v>
      </c>
      <c r="C141" s="71">
        <v>30000.0</v>
      </c>
      <c r="D141" s="72">
        <v>46113.0</v>
      </c>
      <c r="E141" s="72">
        <v>46113.0</v>
      </c>
      <c r="F141" s="84"/>
      <c r="G141" s="85" t="s">
        <v>206</v>
      </c>
      <c r="H141" s="75" t="s">
        <v>69</v>
      </c>
      <c r="I141" s="149" t="s">
        <v>267</v>
      </c>
      <c r="J141" s="150" t="str">
        <f t="shared" si="1"/>
        <v>04 - abril</v>
      </c>
      <c r="K141" s="150" t="str">
        <f t="shared" si="2"/>
        <v>2026</v>
      </c>
      <c r="L141" s="80"/>
    </row>
    <row r="142" ht="22.5" hidden="1" customHeight="1">
      <c r="A142" s="68" t="s">
        <v>140</v>
      </c>
      <c r="B142" s="63" t="s">
        <v>135</v>
      </c>
      <c r="C142" s="93"/>
      <c r="D142" s="65">
        <v>46113.0</v>
      </c>
      <c r="E142" s="86"/>
      <c r="F142" s="87"/>
      <c r="G142" s="95"/>
      <c r="H142" s="115" t="s">
        <v>70</v>
      </c>
      <c r="I142" s="149" t="s">
        <v>267</v>
      </c>
      <c r="J142" s="66" t="str">
        <f t="shared" si="1"/>
        <v>04 - abril</v>
      </c>
      <c r="K142" s="66" t="str">
        <f t="shared" si="2"/>
        <v>2026</v>
      </c>
      <c r="L142" s="69"/>
    </row>
    <row r="143" ht="22.5" hidden="1" customHeight="1">
      <c r="A143" s="77" t="s">
        <v>141</v>
      </c>
      <c r="B143" s="63" t="s">
        <v>135</v>
      </c>
      <c r="C143" s="90"/>
      <c r="D143" s="72">
        <v>46113.0</v>
      </c>
      <c r="E143" s="83"/>
      <c r="F143" s="84"/>
      <c r="G143" s="91"/>
      <c r="H143" s="133" t="s">
        <v>70</v>
      </c>
      <c r="I143" s="149" t="s">
        <v>267</v>
      </c>
      <c r="J143" s="150" t="str">
        <f t="shared" si="1"/>
        <v>04 - abril</v>
      </c>
      <c r="K143" s="150" t="str">
        <f t="shared" si="2"/>
        <v>2026</v>
      </c>
      <c r="L143" s="80"/>
    </row>
    <row r="144" ht="22.5" hidden="1" customHeight="1">
      <c r="A144" s="68" t="s">
        <v>142</v>
      </c>
      <c r="B144" s="63" t="s">
        <v>135</v>
      </c>
      <c r="C144" s="93"/>
      <c r="D144" s="65">
        <v>46113.0</v>
      </c>
      <c r="E144" s="86"/>
      <c r="F144" s="87"/>
      <c r="G144" s="95"/>
      <c r="H144" s="115" t="s">
        <v>70</v>
      </c>
      <c r="I144" s="149" t="s">
        <v>267</v>
      </c>
      <c r="J144" s="66" t="str">
        <f t="shared" si="1"/>
        <v>04 - abril</v>
      </c>
      <c r="K144" s="66" t="str">
        <f t="shared" si="2"/>
        <v>2026</v>
      </c>
      <c r="L144" s="69"/>
    </row>
    <row r="145" ht="22.5" hidden="1" customHeight="1">
      <c r="A145" s="77" t="s">
        <v>143</v>
      </c>
      <c r="B145" s="63" t="s">
        <v>135</v>
      </c>
      <c r="C145" s="90"/>
      <c r="D145" s="72">
        <v>46113.0</v>
      </c>
      <c r="E145" s="83"/>
      <c r="F145" s="84"/>
      <c r="G145" s="91"/>
      <c r="H145" s="133" t="s">
        <v>70</v>
      </c>
      <c r="I145" s="149" t="s">
        <v>267</v>
      </c>
      <c r="J145" s="150" t="str">
        <f t="shared" si="1"/>
        <v>04 - abril</v>
      </c>
      <c r="K145" s="150" t="str">
        <f t="shared" si="2"/>
        <v>2026</v>
      </c>
      <c r="L145" s="80"/>
    </row>
    <row r="146" ht="22.5" hidden="1" customHeight="1">
      <c r="A146" s="68" t="s">
        <v>144</v>
      </c>
      <c r="B146" s="63" t="s">
        <v>135</v>
      </c>
      <c r="C146" s="93"/>
      <c r="D146" s="65">
        <v>46113.0</v>
      </c>
      <c r="E146" s="86"/>
      <c r="F146" s="87"/>
      <c r="G146" s="95"/>
      <c r="H146" s="115" t="s">
        <v>70</v>
      </c>
      <c r="I146" s="149" t="s">
        <v>267</v>
      </c>
      <c r="J146" s="66" t="str">
        <f t="shared" si="1"/>
        <v>04 - abril</v>
      </c>
      <c r="K146" s="66" t="str">
        <f t="shared" si="2"/>
        <v>2026</v>
      </c>
      <c r="L146" s="69"/>
    </row>
    <row r="147" ht="22.5" hidden="1" customHeight="1">
      <c r="A147" s="77" t="s">
        <v>136</v>
      </c>
      <c r="B147" s="63" t="s">
        <v>135</v>
      </c>
      <c r="C147" s="90"/>
      <c r="D147" s="72">
        <v>46113.0</v>
      </c>
      <c r="E147" s="83"/>
      <c r="F147" s="84"/>
      <c r="G147" s="91"/>
      <c r="H147" s="133" t="s">
        <v>70</v>
      </c>
      <c r="I147" s="149" t="s">
        <v>267</v>
      </c>
      <c r="J147" s="150" t="str">
        <f t="shared" si="1"/>
        <v>04 - abril</v>
      </c>
      <c r="K147" s="150" t="str">
        <f t="shared" si="2"/>
        <v>2026</v>
      </c>
      <c r="L147" s="80"/>
    </row>
    <row r="148" ht="22.5" hidden="1" customHeight="1">
      <c r="A148" s="68" t="s">
        <v>145</v>
      </c>
      <c r="B148" s="63" t="s">
        <v>135</v>
      </c>
      <c r="C148" s="93"/>
      <c r="D148" s="65">
        <v>46113.0</v>
      </c>
      <c r="E148" s="86"/>
      <c r="F148" s="87"/>
      <c r="G148" s="95"/>
      <c r="H148" s="115" t="s">
        <v>70</v>
      </c>
      <c r="I148" s="149" t="s">
        <v>267</v>
      </c>
      <c r="J148" s="66" t="str">
        <f t="shared" si="1"/>
        <v>04 - abril</v>
      </c>
      <c r="K148" s="66" t="str">
        <f t="shared" si="2"/>
        <v>2026</v>
      </c>
      <c r="L148" s="69"/>
    </row>
    <row r="149" ht="22.5" hidden="1" customHeight="1">
      <c r="A149" s="151" t="s">
        <v>137</v>
      </c>
      <c r="B149" s="63" t="s">
        <v>135</v>
      </c>
      <c r="C149" s="71">
        <v>30000.0</v>
      </c>
      <c r="D149" s="72">
        <v>46143.0</v>
      </c>
      <c r="E149" s="72">
        <v>46143.0</v>
      </c>
      <c r="F149" s="84"/>
      <c r="G149" s="85" t="s">
        <v>206</v>
      </c>
      <c r="H149" s="75" t="s">
        <v>69</v>
      </c>
      <c r="I149" s="149" t="s">
        <v>267</v>
      </c>
      <c r="J149" s="150" t="str">
        <f t="shared" si="1"/>
        <v>05 - mayo</v>
      </c>
      <c r="K149" s="150" t="str">
        <f t="shared" si="2"/>
        <v>2026</v>
      </c>
      <c r="L149" s="80"/>
    </row>
    <row r="150" ht="22.5" hidden="1" customHeight="1">
      <c r="A150" s="152" t="s">
        <v>138</v>
      </c>
      <c r="B150" s="63" t="s">
        <v>135</v>
      </c>
      <c r="C150" s="64">
        <v>30000.0</v>
      </c>
      <c r="D150" s="65">
        <v>46143.0</v>
      </c>
      <c r="E150" s="65">
        <v>46143.0</v>
      </c>
      <c r="F150" s="87"/>
      <c r="G150" s="96" t="s">
        <v>206</v>
      </c>
      <c r="H150" s="67" t="s">
        <v>69</v>
      </c>
      <c r="I150" s="149" t="s">
        <v>267</v>
      </c>
      <c r="J150" s="66" t="str">
        <f t="shared" si="1"/>
        <v>05 - mayo</v>
      </c>
      <c r="K150" s="66" t="str">
        <f t="shared" si="2"/>
        <v>2026</v>
      </c>
      <c r="L150" s="69"/>
    </row>
    <row r="151" ht="22.5" hidden="1" customHeight="1">
      <c r="A151" s="151" t="s">
        <v>140</v>
      </c>
      <c r="B151" s="63" t="s">
        <v>135</v>
      </c>
      <c r="C151" s="90"/>
      <c r="D151" s="72">
        <v>46143.0</v>
      </c>
      <c r="E151" s="83"/>
      <c r="F151" s="84"/>
      <c r="G151" s="91"/>
      <c r="H151" s="133" t="s">
        <v>70</v>
      </c>
      <c r="I151" s="149" t="s">
        <v>267</v>
      </c>
      <c r="J151" s="150" t="str">
        <f t="shared" si="1"/>
        <v>05 - mayo</v>
      </c>
      <c r="K151" s="150" t="str">
        <f t="shared" si="2"/>
        <v>2026</v>
      </c>
      <c r="L151" s="80"/>
    </row>
    <row r="152" ht="22.5" hidden="1" customHeight="1">
      <c r="A152" s="152" t="s">
        <v>141</v>
      </c>
      <c r="B152" s="63" t="s">
        <v>135</v>
      </c>
      <c r="C152" s="93"/>
      <c r="D152" s="65">
        <v>46143.0</v>
      </c>
      <c r="E152" s="86"/>
      <c r="F152" s="87"/>
      <c r="G152" s="95"/>
      <c r="H152" s="115" t="s">
        <v>70</v>
      </c>
      <c r="I152" s="149" t="s">
        <v>267</v>
      </c>
      <c r="J152" s="66" t="str">
        <f t="shared" si="1"/>
        <v>05 - mayo</v>
      </c>
      <c r="K152" s="66" t="str">
        <f t="shared" si="2"/>
        <v>2026</v>
      </c>
      <c r="L152" s="69"/>
    </row>
    <row r="153" ht="22.5" hidden="1" customHeight="1">
      <c r="A153" s="151" t="s">
        <v>142</v>
      </c>
      <c r="B153" s="63" t="s">
        <v>135</v>
      </c>
      <c r="C153" s="71">
        <v>30000.0</v>
      </c>
      <c r="D153" s="72">
        <v>46143.0</v>
      </c>
      <c r="E153" s="72">
        <v>46143.0</v>
      </c>
      <c r="F153" s="84"/>
      <c r="G153" s="85" t="s">
        <v>206</v>
      </c>
      <c r="H153" s="75" t="s">
        <v>69</v>
      </c>
      <c r="I153" s="149" t="s">
        <v>267</v>
      </c>
      <c r="J153" s="150" t="str">
        <f t="shared" si="1"/>
        <v>05 - mayo</v>
      </c>
      <c r="K153" s="150" t="str">
        <f t="shared" si="2"/>
        <v>2026</v>
      </c>
      <c r="L153" s="80"/>
    </row>
    <row r="154" ht="22.5" hidden="1" customHeight="1">
      <c r="A154" s="152" t="s">
        <v>143</v>
      </c>
      <c r="B154" s="63" t="s">
        <v>135</v>
      </c>
      <c r="C154" s="64">
        <v>30000.0</v>
      </c>
      <c r="D154" s="65">
        <v>46143.0</v>
      </c>
      <c r="E154" s="65">
        <v>46143.0</v>
      </c>
      <c r="F154" s="87"/>
      <c r="G154" s="96" t="s">
        <v>206</v>
      </c>
      <c r="H154" s="67" t="s">
        <v>69</v>
      </c>
      <c r="I154" s="149" t="s">
        <v>267</v>
      </c>
      <c r="J154" s="66" t="str">
        <f t="shared" si="1"/>
        <v>05 - mayo</v>
      </c>
      <c r="K154" s="66" t="str">
        <f t="shared" si="2"/>
        <v>2026</v>
      </c>
      <c r="L154" s="69"/>
    </row>
    <row r="155" ht="22.5" hidden="1" customHeight="1">
      <c r="A155" s="151" t="s">
        <v>144</v>
      </c>
      <c r="B155" s="63" t="s">
        <v>135</v>
      </c>
      <c r="C155" s="90"/>
      <c r="D155" s="72">
        <v>46143.0</v>
      </c>
      <c r="E155" s="83"/>
      <c r="F155" s="84"/>
      <c r="G155" s="91"/>
      <c r="H155" s="133" t="s">
        <v>70</v>
      </c>
      <c r="I155" s="149" t="s">
        <v>267</v>
      </c>
      <c r="J155" s="150" t="str">
        <f t="shared" si="1"/>
        <v>05 - mayo</v>
      </c>
      <c r="K155" s="150" t="str">
        <f t="shared" si="2"/>
        <v>2026</v>
      </c>
      <c r="L155" s="80"/>
    </row>
    <row r="156" ht="22.5" hidden="1" customHeight="1">
      <c r="A156" s="152" t="s">
        <v>136</v>
      </c>
      <c r="B156" s="63" t="s">
        <v>135</v>
      </c>
      <c r="C156" s="93"/>
      <c r="D156" s="65">
        <v>46143.0</v>
      </c>
      <c r="E156" s="86"/>
      <c r="F156" s="87"/>
      <c r="G156" s="95"/>
      <c r="H156" s="115" t="s">
        <v>70</v>
      </c>
      <c r="I156" s="149" t="s">
        <v>267</v>
      </c>
      <c r="J156" s="66" t="str">
        <f t="shared" si="1"/>
        <v>05 - mayo</v>
      </c>
      <c r="K156" s="66" t="str">
        <f t="shared" si="2"/>
        <v>2026</v>
      </c>
      <c r="L156" s="69"/>
    </row>
    <row r="157" ht="22.5" hidden="1" customHeight="1">
      <c r="A157" s="151" t="s">
        <v>145</v>
      </c>
      <c r="B157" s="63" t="s">
        <v>135</v>
      </c>
      <c r="C157" s="90"/>
      <c r="D157" s="72">
        <v>46143.0</v>
      </c>
      <c r="E157" s="83"/>
      <c r="F157" s="84"/>
      <c r="G157" s="91"/>
      <c r="H157" s="133" t="s">
        <v>70</v>
      </c>
      <c r="I157" s="149" t="s">
        <v>267</v>
      </c>
      <c r="J157" s="150" t="str">
        <f t="shared" si="1"/>
        <v>05 - mayo</v>
      </c>
      <c r="K157" s="150" t="str">
        <f t="shared" si="2"/>
        <v>2026</v>
      </c>
      <c r="L157" s="80"/>
    </row>
    <row r="158" ht="22.5" hidden="1" customHeight="1">
      <c r="A158" s="68" t="s">
        <v>137</v>
      </c>
      <c r="B158" s="63" t="s">
        <v>135</v>
      </c>
      <c r="C158" s="64">
        <v>30000.0</v>
      </c>
      <c r="D158" s="65">
        <v>46174.0</v>
      </c>
      <c r="E158" s="65">
        <v>46174.0</v>
      </c>
      <c r="F158" s="87"/>
      <c r="G158" s="96" t="s">
        <v>206</v>
      </c>
      <c r="H158" s="67" t="s">
        <v>69</v>
      </c>
      <c r="I158" s="149" t="s">
        <v>267</v>
      </c>
      <c r="J158" s="66" t="str">
        <f t="shared" si="1"/>
        <v>06 - junio</v>
      </c>
      <c r="K158" s="66" t="str">
        <f t="shared" si="2"/>
        <v>2026</v>
      </c>
      <c r="L158" s="69"/>
    </row>
    <row r="159" ht="22.5" hidden="1" customHeight="1">
      <c r="A159" s="77" t="s">
        <v>138</v>
      </c>
      <c r="B159" s="63" t="s">
        <v>135</v>
      </c>
      <c r="C159" s="71">
        <v>30000.0</v>
      </c>
      <c r="D159" s="72">
        <v>46174.0</v>
      </c>
      <c r="E159" s="72">
        <v>46174.0</v>
      </c>
      <c r="F159" s="84"/>
      <c r="G159" s="85" t="s">
        <v>206</v>
      </c>
      <c r="H159" s="75" t="s">
        <v>69</v>
      </c>
      <c r="I159" s="149" t="s">
        <v>267</v>
      </c>
      <c r="J159" s="150" t="str">
        <f t="shared" si="1"/>
        <v>06 - junio</v>
      </c>
      <c r="K159" s="150" t="str">
        <f t="shared" si="2"/>
        <v>2026</v>
      </c>
      <c r="L159" s="80"/>
    </row>
    <row r="160" ht="22.5" hidden="1" customHeight="1">
      <c r="A160" s="68" t="s">
        <v>140</v>
      </c>
      <c r="B160" s="63" t="s">
        <v>135</v>
      </c>
      <c r="C160" s="93"/>
      <c r="D160" s="65">
        <v>46174.0</v>
      </c>
      <c r="E160" s="86"/>
      <c r="F160" s="87"/>
      <c r="G160" s="95"/>
      <c r="H160" s="115" t="s">
        <v>70</v>
      </c>
      <c r="I160" s="149" t="s">
        <v>267</v>
      </c>
      <c r="J160" s="66" t="str">
        <f t="shared" si="1"/>
        <v>06 - junio</v>
      </c>
      <c r="K160" s="66" t="str">
        <f t="shared" si="2"/>
        <v>2026</v>
      </c>
      <c r="L160" s="69"/>
    </row>
    <row r="161" ht="22.5" hidden="1" customHeight="1">
      <c r="A161" s="77" t="s">
        <v>141</v>
      </c>
      <c r="B161" s="63" t="s">
        <v>135</v>
      </c>
      <c r="C161" s="90"/>
      <c r="D161" s="72">
        <v>46174.0</v>
      </c>
      <c r="E161" s="83"/>
      <c r="F161" s="84"/>
      <c r="G161" s="91"/>
      <c r="H161" s="133" t="s">
        <v>70</v>
      </c>
      <c r="I161" s="149" t="s">
        <v>267</v>
      </c>
      <c r="J161" s="150" t="str">
        <f t="shared" si="1"/>
        <v>06 - junio</v>
      </c>
      <c r="K161" s="150" t="str">
        <f t="shared" si="2"/>
        <v>2026</v>
      </c>
      <c r="L161" s="80"/>
    </row>
    <row r="162" ht="22.5" hidden="1" customHeight="1">
      <c r="A162" s="68" t="s">
        <v>142</v>
      </c>
      <c r="B162" s="63" t="s">
        <v>135</v>
      </c>
      <c r="C162" s="93"/>
      <c r="D162" s="65">
        <v>46174.0</v>
      </c>
      <c r="E162" s="86"/>
      <c r="F162" s="87"/>
      <c r="G162" s="95"/>
      <c r="H162" s="115" t="s">
        <v>70</v>
      </c>
      <c r="I162" s="149" t="s">
        <v>267</v>
      </c>
      <c r="J162" s="66" t="str">
        <f t="shared" si="1"/>
        <v>06 - junio</v>
      </c>
      <c r="K162" s="66" t="str">
        <f t="shared" si="2"/>
        <v>2026</v>
      </c>
      <c r="L162" s="69"/>
    </row>
    <row r="163" ht="22.5" hidden="1" customHeight="1">
      <c r="A163" s="77" t="s">
        <v>143</v>
      </c>
      <c r="B163" s="63" t="s">
        <v>135</v>
      </c>
      <c r="C163" s="71">
        <v>30000.0</v>
      </c>
      <c r="D163" s="72">
        <v>46174.0</v>
      </c>
      <c r="E163" s="72">
        <v>46174.0</v>
      </c>
      <c r="F163" s="84"/>
      <c r="G163" s="85" t="s">
        <v>206</v>
      </c>
      <c r="H163" s="75" t="s">
        <v>69</v>
      </c>
      <c r="I163" s="149" t="s">
        <v>267</v>
      </c>
      <c r="J163" s="150" t="str">
        <f t="shared" si="1"/>
        <v>06 - junio</v>
      </c>
      <c r="K163" s="150" t="str">
        <f t="shared" si="2"/>
        <v>2026</v>
      </c>
      <c r="L163" s="80"/>
    </row>
    <row r="164" ht="22.5" hidden="1" customHeight="1">
      <c r="A164" s="68" t="s">
        <v>144</v>
      </c>
      <c r="B164" s="63" t="s">
        <v>135</v>
      </c>
      <c r="C164" s="93"/>
      <c r="D164" s="65">
        <v>46174.0</v>
      </c>
      <c r="E164" s="86"/>
      <c r="F164" s="87"/>
      <c r="G164" s="95"/>
      <c r="H164" s="115" t="s">
        <v>70</v>
      </c>
      <c r="I164" s="149" t="s">
        <v>267</v>
      </c>
      <c r="J164" s="66" t="str">
        <f t="shared" si="1"/>
        <v>06 - junio</v>
      </c>
      <c r="K164" s="66" t="str">
        <f t="shared" si="2"/>
        <v>2026</v>
      </c>
      <c r="L164" s="69"/>
    </row>
    <row r="165" ht="22.5" hidden="1" customHeight="1">
      <c r="A165" s="77" t="s">
        <v>136</v>
      </c>
      <c r="B165" s="63" t="s">
        <v>135</v>
      </c>
      <c r="C165" s="90"/>
      <c r="D165" s="72">
        <v>46174.0</v>
      </c>
      <c r="E165" s="83"/>
      <c r="F165" s="84"/>
      <c r="G165" s="91"/>
      <c r="H165" s="133" t="s">
        <v>70</v>
      </c>
      <c r="I165" s="149" t="s">
        <v>267</v>
      </c>
      <c r="J165" s="150" t="str">
        <f t="shared" si="1"/>
        <v>06 - junio</v>
      </c>
      <c r="K165" s="150" t="str">
        <f t="shared" si="2"/>
        <v>2026</v>
      </c>
      <c r="L165" s="80"/>
    </row>
    <row r="166" ht="22.5" hidden="1" customHeight="1">
      <c r="A166" s="68" t="s">
        <v>145</v>
      </c>
      <c r="B166" s="63" t="s">
        <v>135</v>
      </c>
      <c r="C166" s="64">
        <v>30000.0</v>
      </c>
      <c r="D166" s="65">
        <v>46174.0</v>
      </c>
      <c r="E166" s="65">
        <v>46174.0</v>
      </c>
      <c r="F166" s="87"/>
      <c r="G166" s="96" t="s">
        <v>206</v>
      </c>
      <c r="H166" s="67" t="s">
        <v>69</v>
      </c>
      <c r="I166" s="149" t="s">
        <v>267</v>
      </c>
      <c r="J166" s="66" t="str">
        <f t="shared" si="1"/>
        <v>06 - junio</v>
      </c>
      <c r="K166" s="66" t="str">
        <f t="shared" si="2"/>
        <v>2026</v>
      </c>
      <c r="L166" s="69"/>
    </row>
    <row r="167" ht="22.5" hidden="1" customHeight="1">
      <c r="A167" s="151" t="s">
        <v>137</v>
      </c>
      <c r="B167" s="63" t="s">
        <v>135</v>
      </c>
      <c r="C167" s="71">
        <v>30000.0</v>
      </c>
      <c r="D167" s="72">
        <v>46204.0</v>
      </c>
      <c r="E167" s="72">
        <v>46204.0</v>
      </c>
      <c r="F167" s="84"/>
      <c r="G167" s="85" t="s">
        <v>206</v>
      </c>
      <c r="H167" s="75" t="s">
        <v>69</v>
      </c>
      <c r="I167" s="149" t="s">
        <v>267</v>
      </c>
      <c r="J167" s="150" t="str">
        <f t="shared" si="1"/>
        <v>07 - julio</v>
      </c>
      <c r="K167" s="150" t="str">
        <f t="shared" si="2"/>
        <v>2026</v>
      </c>
      <c r="L167" s="80"/>
    </row>
    <row r="168" ht="22.5" hidden="1" customHeight="1">
      <c r="A168" s="152" t="s">
        <v>138</v>
      </c>
      <c r="B168" s="63" t="s">
        <v>135</v>
      </c>
      <c r="C168" s="64">
        <v>30000.0</v>
      </c>
      <c r="D168" s="65">
        <v>46204.0</v>
      </c>
      <c r="E168" s="65">
        <v>46204.0</v>
      </c>
      <c r="F168" s="87"/>
      <c r="G168" s="96" t="s">
        <v>206</v>
      </c>
      <c r="H168" s="67" t="s">
        <v>69</v>
      </c>
      <c r="I168" s="149" t="s">
        <v>267</v>
      </c>
      <c r="J168" s="66" t="str">
        <f t="shared" si="1"/>
        <v>07 - julio</v>
      </c>
      <c r="K168" s="66" t="str">
        <f t="shared" si="2"/>
        <v>2026</v>
      </c>
      <c r="L168" s="69"/>
    </row>
    <row r="169" ht="22.5" hidden="1" customHeight="1">
      <c r="A169" s="151" t="s">
        <v>140</v>
      </c>
      <c r="B169" s="63" t="s">
        <v>135</v>
      </c>
      <c r="C169" s="90"/>
      <c r="D169" s="72">
        <v>46204.0</v>
      </c>
      <c r="E169" s="83"/>
      <c r="F169" s="84"/>
      <c r="G169" s="91"/>
      <c r="H169" s="133" t="s">
        <v>70</v>
      </c>
      <c r="I169" s="149" t="s">
        <v>267</v>
      </c>
      <c r="J169" s="150" t="str">
        <f t="shared" si="1"/>
        <v>07 - julio</v>
      </c>
      <c r="K169" s="150" t="str">
        <f t="shared" si="2"/>
        <v>2026</v>
      </c>
      <c r="L169" s="80"/>
    </row>
    <row r="170" ht="22.5" hidden="1" customHeight="1">
      <c r="A170" s="152" t="s">
        <v>141</v>
      </c>
      <c r="B170" s="63" t="s">
        <v>135</v>
      </c>
      <c r="C170" s="93"/>
      <c r="D170" s="65">
        <v>46204.0</v>
      </c>
      <c r="E170" s="86"/>
      <c r="F170" s="87"/>
      <c r="G170" s="95"/>
      <c r="H170" s="115" t="s">
        <v>70</v>
      </c>
      <c r="I170" s="149" t="s">
        <v>267</v>
      </c>
      <c r="J170" s="66" t="str">
        <f t="shared" si="1"/>
        <v>07 - julio</v>
      </c>
      <c r="K170" s="66" t="str">
        <f t="shared" si="2"/>
        <v>2026</v>
      </c>
      <c r="L170" s="69"/>
    </row>
    <row r="171" ht="22.5" hidden="1" customHeight="1">
      <c r="A171" s="151" t="s">
        <v>142</v>
      </c>
      <c r="B171" s="63" t="s">
        <v>135</v>
      </c>
      <c r="C171" s="90"/>
      <c r="D171" s="72">
        <v>46204.0</v>
      </c>
      <c r="E171" s="83"/>
      <c r="F171" s="84"/>
      <c r="G171" s="91"/>
      <c r="H171" s="133" t="s">
        <v>70</v>
      </c>
      <c r="I171" s="149" t="s">
        <v>267</v>
      </c>
      <c r="J171" s="150" t="str">
        <f t="shared" si="1"/>
        <v>07 - julio</v>
      </c>
      <c r="K171" s="150" t="str">
        <f t="shared" si="2"/>
        <v>2026</v>
      </c>
      <c r="L171" s="80"/>
    </row>
    <row r="172" ht="22.5" hidden="1" customHeight="1">
      <c r="A172" s="152" t="s">
        <v>143</v>
      </c>
      <c r="B172" s="63" t="s">
        <v>135</v>
      </c>
      <c r="C172" s="64">
        <v>30000.0</v>
      </c>
      <c r="D172" s="65">
        <v>46204.0</v>
      </c>
      <c r="E172" s="65">
        <v>46204.0</v>
      </c>
      <c r="F172" s="87"/>
      <c r="G172" s="96" t="s">
        <v>206</v>
      </c>
      <c r="H172" s="67" t="s">
        <v>69</v>
      </c>
      <c r="I172" s="149" t="s">
        <v>267</v>
      </c>
      <c r="J172" s="66" t="str">
        <f t="shared" si="1"/>
        <v>07 - julio</v>
      </c>
      <c r="K172" s="66" t="str">
        <f t="shared" si="2"/>
        <v>2026</v>
      </c>
      <c r="L172" s="69"/>
    </row>
    <row r="173" ht="22.5" hidden="1" customHeight="1">
      <c r="A173" s="151" t="s">
        <v>144</v>
      </c>
      <c r="B173" s="63" t="s">
        <v>135</v>
      </c>
      <c r="C173" s="90"/>
      <c r="D173" s="72">
        <v>46204.0</v>
      </c>
      <c r="E173" s="83"/>
      <c r="F173" s="84"/>
      <c r="G173" s="91"/>
      <c r="H173" s="133" t="s">
        <v>70</v>
      </c>
      <c r="I173" s="149" t="s">
        <v>267</v>
      </c>
      <c r="J173" s="150" t="str">
        <f t="shared" si="1"/>
        <v>07 - julio</v>
      </c>
      <c r="K173" s="150" t="str">
        <f t="shared" si="2"/>
        <v>2026</v>
      </c>
      <c r="L173" s="80"/>
    </row>
    <row r="174" ht="22.5" hidden="1" customHeight="1">
      <c r="A174" s="152" t="s">
        <v>136</v>
      </c>
      <c r="B174" s="63" t="s">
        <v>135</v>
      </c>
      <c r="C174" s="93"/>
      <c r="D174" s="65">
        <v>46204.0</v>
      </c>
      <c r="E174" s="86"/>
      <c r="F174" s="87"/>
      <c r="G174" s="95"/>
      <c r="H174" s="115" t="s">
        <v>70</v>
      </c>
      <c r="I174" s="149" t="s">
        <v>267</v>
      </c>
      <c r="J174" s="66" t="str">
        <f t="shared" si="1"/>
        <v>07 - julio</v>
      </c>
      <c r="K174" s="66" t="str">
        <f t="shared" si="2"/>
        <v>2026</v>
      </c>
      <c r="L174" s="69"/>
    </row>
    <row r="175" ht="22.5" hidden="1" customHeight="1">
      <c r="A175" s="151" t="s">
        <v>145</v>
      </c>
      <c r="B175" s="63" t="s">
        <v>135</v>
      </c>
      <c r="C175" s="90"/>
      <c r="D175" s="72">
        <v>46204.0</v>
      </c>
      <c r="E175" s="83"/>
      <c r="F175" s="84"/>
      <c r="G175" s="91"/>
      <c r="H175" s="133" t="s">
        <v>70</v>
      </c>
      <c r="I175" s="149" t="s">
        <v>267</v>
      </c>
      <c r="J175" s="150" t="str">
        <f t="shared" si="1"/>
        <v>07 - julio</v>
      </c>
      <c r="K175" s="150" t="str">
        <f t="shared" si="2"/>
        <v>2026</v>
      </c>
      <c r="L175" s="80"/>
    </row>
    <row r="176" ht="22.5" hidden="1" customHeight="1">
      <c r="A176" s="68" t="s">
        <v>137</v>
      </c>
      <c r="B176" s="63" t="s">
        <v>135</v>
      </c>
      <c r="C176" s="64">
        <v>35000.0</v>
      </c>
      <c r="D176" s="65">
        <v>46235.0</v>
      </c>
      <c r="E176" s="65">
        <v>46235.0</v>
      </c>
      <c r="F176" s="87"/>
      <c r="G176" s="96" t="s">
        <v>206</v>
      </c>
      <c r="H176" s="67" t="s">
        <v>69</v>
      </c>
      <c r="I176" s="149" t="s">
        <v>267</v>
      </c>
      <c r="J176" s="66" t="str">
        <f t="shared" si="1"/>
        <v>08 - agosto</v>
      </c>
      <c r="K176" s="66" t="str">
        <f t="shared" si="2"/>
        <v>2026</v>
      </c>
      <c r="L176" s="69"/>
    </row>
    <row r="177" ht="22.5" hidden="1" customHeight="1">
      <c r="A177" s="77" t="s">
        <v>138</v>
      </c>
      <c r="B177" s="63" t="s">
        <v>135</v>
      </c>
      <c r="C177" s="71"/>
      <c r="D177" s="72">
        <v>46235.0</v>
      </c>
      <c r="E177" s="72"/>
      <c r="F177" s="84"/>
      <c r="G177" s="85"/>
      <c r="H177" s="153" t="s">
        <v>70</v>
      </c>
      <c r="I177" s="149" t="s">
        <v>267</v>
      </c>
      <c r="J177" s="150" t="str">
        <f t="shared" si="1"/>
        <v>08 - agosto</v>
      </c>
      <c r="K177" s="150" t="str">
        <f t="shared" si="2"/>
        <v>2026</v>
      </c>
      <c r="L177" s="80"/>
    </row>
    <row r="178" ht="22.5" hidden="1" customHeight="1">
      <c r="A178" s="68" t="s">
        <v>140</v>
      </c>
      <c r="B178" s="63" t="s">
        <v>135</v>
      </c>
      <c r="C178" s="64">
        <v>35000.0</v>
      </c>
      <c r="D178" s="65">
        <v>46235.0</v>
      </c>
      <c r="E178" s="65">
        <v>46235.0</v>
      </c>
      <c r="F178" s="87"/>
      <c r="G178" s="96" t="s">
        <v>206</v>
      </c>
      <c r="H178" s="67" t="s">
        <v>69</v>
      </c>
      <c r="I178" s="149" t="s">
        <v>267</v>
      </c>
      <c r="J178" s="66" t="str">
        <f t="shared" si="1"/>
        <v>08 - agosto</v>
      </c>
      <c r="K178" s="66" t="str">
        <f t="shared" si="2"/>
        <v>2026</v>
      </c>
      <c r="L178" s="69"/>
    </row>
    <row r="179" ht="22.5" hidden="1" customHeight="1">
      <c r="A179" s="77" t="s">
        <v>141</v>
      </c>
      <c r="B179" s="63" t="s">
        <v>135</v>
      </c>
      <c r="C179" s="90"/>
      <c r="D179" s="72">
        <v>46235.0</v>
      </c>
      <c r="E179" s="83"/>
      <c r="F179" s="84"/>
      <c r="G179" s="91"/>
      <c r="H179" s="133" t="s">
        <v>70</v>
      </c>
      <c r="I179" s="149" t="s">
        <v>267</v>
      </c>
      <c r="J179" s="150" t="str">
        <f t="shared" si="1"/>
        <v>08 - agosto</v>
      </c>
      <c r="K179" s="150" t="str">
        <f t="shared" si="2"/>
        <v>2026</v>
      </c>
      <c r="L179" s="80"/>
    </row>
    <row r="180" ht="22.5" hidden="1" customHeight="1">
      <c r="A180" s="68" t="s">
        <v>142</v>
      </c>
      <c r="B180" s="63" t="s">
        <v>135</v>
      </c>
      <c r="C180" s="93"/>
      <c r="D180" s="65">
        <v>46235.0</v>
      </c>
      <c r="E180" s="86"/>
      <c r="F180" s="87"/>
      <c r="G180" s="95"/>
      <c r="H180" s="115" t="s">
        <v>70</v>
      </c>
      <c r="I180" s="149" t="s">
        <v>267</v>
      </c>
      <c r="J180" s="66" t="str">
        <f t="shared" si="1"/>
        <v>08 - agosto</v>
      </c>
      <c r="K180" s="66" t="str">
        <f t="shared" si="2"/>
        <v>2026</v>
      </c>
      <c r="L180" s="69"/>
    </row>
    <row r="181" ht="22.5" hidden="1" customHeight="1">
      <c r="A181" s="77" t="s">
        <v>143</v>
      </c>
      <c r="B181" s="63" t="s">
        <v>135</v>
      </c>
      <c r="C181" s="128">
        <v>35000.0</v>
      </c>
      <c r="D181" s="72">
        <v>46235.0</v>
      </c>
      <c r="E181" s="134">
        <v>46241.0</v>
      </c>
      <c r="F181" s="135" t="s">
        <v>26</v>
      </c>
      <c r="G181" s="136" t="s">
        <v>199</v>
      </c>
      <c r="H181" s="137" t="s">
        <v>69</v>
      </c>
      <c r="I181" s="149" t="s">
        <v>267</v>
      </c>
      <c r="J181" s="150" t="str">
        <f t="shared" si="1"/>
        <v>08 - agosto</v>
      </c>
      <c r="K181" s="150" t="str">
        <f t="shared" si="2"/>
        <v>2026</v>
      </c>
      <c r="L181" s="154" t="s">
        <v>26</v>
      </c>
    </row>
    <row r="182" ht="22.5" hidden="1" customHeight="1">
      <c r="A182" s="68" t="s">
        <v>144</v>
      </c>
      <c r="B182" s="63" t="s">
        <v>135</v>
      </c>
      <c r="C182" s="93"/>
      <c r="D182" s="65">
        <v>46235.0</v>
      </c>
      <c r="E182" s="86"/>
      <c r="F182" s="87"/>
      <c r="G182" s="95"/>
      <c r="H182" s="115" t="s">
        <v>70</v>
      </c>
      <c r="I182" s="149" t="s">
        <v>267</v>
      </c>
      <c r="J182" s="66" t="str">
        <f t="shared" si="1"/>
        <v>08 - agosto</v>
      </c>
      <c r="K182" s="66" t="str">
        <f t="shared" si="2"/>
        <v>2026</v>
      </c>
      <c r="L182" s="69"/>
    </row>
    <row r="183" ht="22.5" hidden="1" customHeight="1">
      <c r="A183" s="77" t="s">
        <v>136</v>
      </c>
      <c r="B183" s="63" t="s">
        <v>135</v>
      </c>
      <c r="C183" s="90"/>
      <c r="D183" s="72">
        <v>46235.0</v>
      </c>
      <c r="E183" s="83"/>
      <c r="F183" s="84"/>
      <c r="G183" s="91"/>
      <c r="H183" s="133" t="s">
        <v>70</v>
      </c>
      <c r="I183" s="149" t="s">
        <v>267</v>
      </c>
      <c r="J183" s="150" t="str">
        <f t="shared" si="1"/>
        <v>08 - agosto</v>
      </c>
      <c r="K183" s="150" t="str">
        <f t="shared" si="2"/>
        <v>2026</v>
      </c>
      <c r="L183" s="80"/>
    </row>
    <row r="184" ht="22.5" hidden="1" customHeight="1">
      <c r="A184" s="68" t="s">
        <v>145</v>
      </c>
      <c r="B184" s="63" t="s">
        <v>135</v>
      </c>
      <c r="C184" s="93"/>
      <c r="D184" s="65">
        <v>46235.0</v>
      </c>
      <c r="E184" s="86"/>
      <c r="F184" s="87"/>
      <c r="G184" s="95"/>
      <c r="H184" s="115" t="s">
        <v>70</v>
      </c>
      <c r="I184" s="149" t="s">
        <v>267</v>
      </c>
      <c r="J184" s="66" t="str">
        <f t="shared" si="1"/>
        <v>08 - agosto</v>
      </c>
      <c r="K184" s="66" t="str">
        <f t="shared" si="2"/>
        <v>2026</v>
      </c>
      <c r="L184" s="69"/>
    </row>
    <row r="185" ht="22.5" hidden="1" customHeight="1">
      <c r="A185" s="151" t="s">
        <v>137</v>
      </c>
      <c r="B185" s="63" t="s">
        <v>135</v>
      </c>
      <c r="C185" s="128">
        <v>35000.0</v>
      </c>
      <c r="D185" s="72">
        <v>46266.0</v>
      </c>
      <c r="E185" s="134">
        <v>46294.0</v>
      </c>
      <c r="F185" s="135" t="s">
        <v>26</v>
      </c>
      <c r="G185" s="136" t="s">
        <v>335</v>
      </c>
      <c r="H185" s="137" t="s">
        <v>69</v>
      </c>
      <c r="I185" s="149" t="s">
        <v>267</v>
      </c>
      <c r="J185" s="150" t="str">
        <f t="shared" si="1"/>
        <v>09 - septiembre</v>
      </c>
      <c r="K185" s="150" t="str">
        <f t="shared" si="2"/>
        <v>2026</v>
      </c>
      <c r="L185" s="80"/>
    </row>
    <row r="186" ht="22.5" hidden="1" customHeight="1">
      <c r="A186" s="152" t="s">
        <v>138</v>
      </c>
      <c r="B186" s="63" t="s">
        <v>135</v>
      </c>
      <c r="C186" s="93"/>
      <c r="D186" s="65">
        <v>46266.0</v>
      </c>
      <c r="E186" s="86"/>
      <c r="F186" s="87"/>
      <c r="G186" s="95"/>
      <c r="H186" s="115" t="s">
        <v>70</v>
      </c>
      <c r="I186" s="149" t="s">
        <v>267</v>
      </c>
      <c r="J186" s="66" t="str">
        <f t="shared" si="1"/>
        <v>09 - septiembre</v>
      </c>
      <c r="K186" s="66" t="str">
        <f t="shared" si="2"/>
        <v>2026</v>
      </c>
      <c r="L186" s="69"/>
    </row>
    <row r="187" ht="22.5" hidden="1" customHeight="1">
      <c r="A187" s="151" t="s">
        <v>140</v>
      </c>
      <c r="B187" s="63" t="s">
        <v>135</v>
      </c>
      <c r="C187" s="90"/>
      <c r="D187" s="72">
        <v>46266.0</v>
      </c>
      <c r="E187" s="83"/>
      <c r="F187" s="84"/>
      <c r="G187" s="91"/>
      <c r="H187" s="133" t="s">
        <v>70</v>
      </c>
      <c r="I187" s="149" t="s">
        <v>267</v>
      </c>
      <c r="J187" s="150" t="str">
        <f t="shared" si="1"/>
        <v>09 - septiembre</v>
      </c>
      <c r="K187" s="150" t="str">
        <f t="shared" si="2"/>
        <v>2026</v>
      </c>
      <c r="L187" s="80"/>
    </row>
    <row r="188" ht="22.5" hidden="1" customHeight="1">
      <c r="A188" s="152" t="s">
        <v>141</v>
      </c>
      <c r="B188" s="63" t="s">
        <v>135</v>
      </c>
      <c r="C188" s="93"/>
      <c r="D188" s="65">
        <v>46266.0</v>
      </c>
      <c r="E188" s="86"/>
      <c r="F188" s="87"/>
      <c r="G188" s="95"/>
      <c r="H188" s="115" t="s">
        <v>70</v>
      </c>
      <c r="I188" s="149" t="s">
        <v>267</v>
      </c>
      <c r="J188" s="66" t="str">
        <f t="shared" si="1"/>
        <v>09 - septiembre</v>
      </c>
      <c r="K188" s="66" t="str">
        <f t="shared" si="2"/>
        <v>2026</v>
      </c>
      <c r="L188" s="69"/>
    </row>
    <row r="189" ht="22.5" hidden="1" customHeight="1">
      <c r="A189" s="151" t="s">
        <v>142</v>
      </c>
      <c r="B189" s="63" t="s">
        <v>135</v>
      </c>
      <c r="C189" s="90"/>
      <c r="D189" s="72">
        <v>46266.0</v>
      </c>
      <c r="E189" s="83"/>
      <c r="F189" s="84"/>
      <c r="G189" s="91"/>
      <c r="H189" s="133" t="s">
        <v>70</v>
      </c>
      <c r="I189" s="149" t="s">
        <v>267</v>
      </c>
      <c r="J189" s="150" t="str">
        <f t="shared" si="1"/>
        <v>09 - septiembre</v>
      </c>
      <c r="K189" s="150" t="str">
        <f t="shared" si="2"/>
        <v>2026</v>
      </c>
      <c r="L189" s="80"/>
    </row>
    <row r="190" ht="22.5" hidden="1" customHeight="1">
      <c r="A190" s="152" t="s">
        <v>143</v>
      </c>
      <c r="B190" s="63" t="s">
        <v>135</v>
      </c>
      <c r="C190" s="128">
        <v>35000.0</v>
      </c>
      <c r="D190" s="155">
        <v>46266.0</v>
      </c>
      <c r="E190" s="134">
        <v>46277.0</v>
      </c>
      <c r="F190" s="135" t="s">
        <v>26</v>
      </c>
      <c r="G190" s="136" t="s">
        <v>199</v>
      </c>
      <c r="H190" s="137" t="s">
        <v>69</v>
      </c>
      <c r="I190" s="149" t="s">
        <v>267</v>
      </c>
      <c r="J190" s="66" t="str">
        <f t="shared" si="1"/>
        <v>09 - septiembre</v>
      </c>
      <c r="K190" s="66" t="str">
        <f t="shared" si="2"/>
        <v>2026</v>
      </c>
      <c r="L190" s="69"/>
    </row>
    <row r="191" ht="22.5" hidden="1" customHeight="1">
      <c r="A191" s="151" t="s">
        <v>144</v>
      </c>
      <c r="B191" s="63" t="s">
        <v>135</v>
      </c>
      <c r="C191" s="90"/>
      <c r="D191" s="72">
        <v>46266.0</v>
      </c>
      <c r="E191" s="83"/>
      <c r="F191" s="84"/>
      <c r="G191" s="91"/>
      <c r="H191" s="133" t="s">
        <v>70</v>
      </c>
      <c r="I191" s="149" t="s">
        <v>267</v>
      </c>
      <c r="J191" s="150" t="str">
        <f t="shared" si="1"/>
        <v>09 - septiembre</v>
      </c>
      <c r="K191" s="150" t="str">
        <f t="shared" si="2"/>
        <v>2026</v>
      </c>
      <c r="L191" s="80"/>
    </row>
    <row r="192" ht="22.5" hidden="1" customHeight="1">
      <c r="A192" s="152" t="s">
        <v>136</v>
      </c>
      <c r="B192" s="63" t="s">
        <v>135</v>
      </c>
      <c r="C192" s="93"/>
      <c r="D192" s="65">
        <v>46266.0</v>
      </c>
      <c r="E192" s="86"/>
      <c r="F192" s="87"/>
      <c r="G192" s="95"/>
      <c r="H192" s="115" t="s">
        <v>70</v>
      </c>
      <c r="I192" s="149" t="s">
        <v>267</v>
      </c>
      <c r="J192" s="66" t="str">
        <f t="shared" si="1"/>
        <v>09 - septiembre</v>
      </c>
      <c r="K192" s="66" t="str">
        <f t="shared" si="2"/>
        <v>2026</v>
      </c>
      <c r="L192" s="69"/>
    </row>
    <row r="193" ht="22.5" hidden="1" customHeight="1">
      <c r="A193" s="151" t="s">
        <v>145</v>
      </c>
      <c r="B193" s="63" t="s">
        <v>135</v>
      </c>
      <c r="C193" s="90"/>
      <c r="D193" s="72">
        <v>46266.0</v>
      </c>
      <c r="E193" s="83"/>
      <c r="F193" s="84"/>
      <c r="G193" s="91"/>
      <c r="H193" s="133" t="s">
        <v>70</v>
      </c>
      <c r="I193" s="149" t="s">
        <v>267</v>
      </c>
      <c r="J193" s="150" t="str">
        <f t="shared" si="1"/>
        <v>09 - septiembre</v>
      </c>
      <c r="K193" s="150" t="str">
        <f t="shared" si="2"/>
        <v>2026</v>
      </c>
      <c r="L193" s="80"/>
    </row>
    <row r="194" ht="22.5" hidden="1" customHeight="1">
      <c r="A194" s="68" t="s">
        <v>137</v>
      </c>
      <c r="B194" s="63" t="s">
        <v>135</v>
      </c>
      <c r="C194" s="93"/>
      <c r="D194" s="65">
        <v>46296.0</v>
      </c>
      <c r="E194" s="86"/>
      <c r="F194" s="87"/>
      <c r="G194" s="95"/>
      <c r="H194" s="115" t="s">
        <v>70</v>
      </c>
      <c r="I194" s="149" t="s">
        <v>267</v>
      </c>
      <c r="J194" s="66" t="str">
        <f t="shared" si="1"/>
        <v>10 - octubre</v>
      </c>
      <c r="K194" s="66" t="str">
        <f t="shared" si="2"/>
        <v>2026</v>
      </c>
      <c r="L194" s="69"/>
    </row>
    <row r="195" ht="22.5" hidden="1" customHeight="1">
      <c r="A195" s="77" t="s">
        <v>138</v>
      </c>
      <c r="B195" s="63" t="s">
        <v>135</v>
      </c>
      <c r="C195" s="90"/>
      <c r="D195" s="72">
        <v>46296.0</v>
      </c>
      <c r="E195" s="83"/>
      <c r="F195" s="84"/>
      <c r="G195" s="91"/>
      <c r="H195" s="133" t="s">
        <v>70</v>
      </c>
      <c r="I195" s="149" t="s">
        <v>267</v>
      </c>
      <c r="J195" s="150" t="str">
        <f t="shared" si="1"/>
        <v>10 - octubre</v>
      </c>
      <c r="K195" s="150" t="str">
        <f t="shared" si="2"/>
        <v>2026</v>
      </c>
      <c r="L195" s="80"/>
    </row>
    <row r="196" ht="22.5" hidden="1" customHeight="1">
      <c r="A196" s="68" t="s">
        <v>140</v>
      </c>
      <c r="B196" s="63" t="s">
        <v>135</v>
      </c>
      <c r="C196" s="93"/>
      <c r="D196" s="65">
        <v>46296.0</v>
      </c>
      <c r="E196" s="86"/>
      <c r="F196" s="87"/>
      <c r="G196" s="95"/>
      <c r="H196" s="115" t="s">
        <v>70</v>
      </c>
      <c r="I196" s="149" t="s">
        <v>267</v>
      </c>
      <c r="J196" s="66" t="str">
        <f t="shared" si="1"/>
        <v>10 - octubre</v>
      </c>
      <c r="K196" s="66" t="str">
        <f t="shared" si="2"/>
        <v>2026</v>
      </c>
      <c r="L196" s="69"/>
    </row>
    <row r="197" ht="22.5" hidden="1" customHeight="1">
      <c r="A197" s="77" t="s">
        <v>141</v>
      </c>
      <c r="B197" s="63" t="s">
        <v>135</v>
      </c>
      <c r="C197" s="90"/>
      <c r="D197" s="72">
        <v>46296.0</v>
      </c>
      <c r="E197" s="83"/>
      <c r="F197" s="84"/>
      <c r="G197" s="91"/>
      <c r="H197" s="133" t="s">
        <v>70</v>
      </c>
      <c r="I197" s="149" t="s">
        <v>267</v>
      </c>
      <c r="J197" s="150" t="str">
        <f t="shared" si="1"/>
        <v>10 - octubre</v>
      </c>
      <c r="K197" s="150" t="str">
        <f t="shared" si="2"/>
        <v>2026</v>
      </c>
      <c r="L197" s="80"/>
    </row>
    <row r="198" ht="22.5" hidden="1" customHeight="1">
      <c r="A198" s="68" t="s">
        <v>142</v>
      </c>
      <c r="B198" s="63" t="s">
        <v>135</v>
      </c>
      <c r="C198" s="93"/>
      <c r="D198" s="65">
        <v>46296.0</v>
      </c>
      <c r="E198" s="86"/>
      <c r="F198" s="87"/>
      <c r="G198" s="95"/>
      <c r="H198" s="115" t="s">
        <v>70</v>
      </c>
      <c r="I198" s="149" t="s">
        <v>267</v>
      </c>
      <c r="J198" s="66" t="str">
        <f t="shared" si="1"/>
        <v>10 - octubre</v>
      </c>
      <c r="K198" s="66" t="str">
        <f t="shared" si="2"/>
        <v>2026</v>
      </c>
      <c r="L198" s="69"/>
    </row>
    <row r="199" ht="22.5" hidden="1" customHeight="1">
      <c r="A199" s="77" t="s">
        <v>143</v>
      </c>
      <c r="B199" s="63" t="s">
        <v>135</v>
      </c>
      <c r="C199" s="90"/>
      <c r="D199" s="72">
        <v>46296.0</v>
      </c>
      <c r="E199" s="83"/>
      <c r="F199" s="84"/>
      <c r="G199" s="91"/>
      <c r="H199" s="133" t="s">
        <v>70</v>
      </c>
      <c r="I199" s="149" t="s">
        <v>267</v>
      </c>
      <c r="J199" s="150" t="str">
        <f t="shared" si="1"/>
        <v>10 - octubre</v>
      </c>
      <c r="K199" s="150" t="str">
        <f t="shared" si="2"/>
        <v>2026</v>
      </c>
      <c r="L199" s="80"/>
    </row>
    <row r="200" ht="22.5" hidden="1" customHeight="1">
      <c r="A200" s="68" t="s">
        <v>144</v>
      </c>
      <c r="B200" s="63" t="s">
        <v>135</v>
      </c>
      <c r="C200" s="93"/>
      <c r="D200" s="65">
        <v>46296.0</v>
      </c>
      <c r="E200" s="86"/>
      <c r="F200" s="87"/>
      <c r="G200" s="95"/>
      <c r="H200" s="115" t="s">
        <v>70</v>
      </c>
      <c r="I200" s="149" t="s">
        <v>267</v>
      </c>
      <c r="J200" s="66" t="str">
        <f t="shared" si="1"/>
        <v>10 - octubre</v>
      </c>
      <c r="K200" s="66" t="str">
        <f t="shared" si="2"/>
        <v>2026</v>
      </c>
      <c r="L200" s="69"/>
    </row>
    <row r="201" ht="22.5" hidden="1" customHeight="1">
      <c r="A201" s="77" t="s">
        <v>136</v>
      </c>
      <c r="B201" s="63" t="s">
        <v>135</v>
      </c>
      <c r="C201" s="90"/>
      <c r="D201" s="72">
        <v>46296.0</v>
      </c>
      <c r="E201" s="83"/>
      <c r="F201" s="84"/>
      <c r="G201" s="91"/>
      <c r="H201" s="133" t="s">
        <v>70</v>
      </c>
      <c r="I201" s="149" t="s">
        <v>267</v>
      </c>
      <c r="J201" s="150" t="str">
        <f t="shared" si="1"/>
        <v>10 - octubre</v>
      </c>
      <c r="K201" s="150" t="str">
        <f t="shared" si="2"/>
        <v>2026</v>
      </c>
      <c r="L201" s="80"/>
    </row>
    <row r="202" ht="22.5" hidden="1" customHeight="1">
      <c r="A202" s="68" t="s">
        <v>145</v>
      </c>
      <c r="B202" s="63" t="s">
        <v>135</v>
      </c>
      <c r="C202" s="140"/>
      <c r="D202" s="141">
        <v>46296.0</v>
      </c>
      <c r="E202" s="142"/>
      <c r="F202" s="143"/>
      <c r="G202" s="144"/>
      <c r="H202" s="156" t="s">
        <v>70</v>
      </c>
      <c r="I202" s="149" t="s">
        <v>267</v>
      </c>
      <c r="J202" s="66" t="str">
        <f t="shared" si="1"/>
        <v>10 - octubre</v>
      </c>
      <c r="K202" s="66" t="str">
        <f t="shared" si="2"/>
        <v>2026</v>
      </c>
      <c r="L202" s="148"/>
    </row>
    <row r="203" ht="22.5" hidden="1" customHeight="1">
      <c r="A203" s="68" t="s">
        <v>113</v>
      </c>
      <c r="B203" s="63" t="s">
        <v>112</v>
      </c>
      <c r="C203" s="157"/>
      <c r="D203" s="65">
        <v>46054.0</v>
      </c>
      <c r="E203" s="65"/>
      <c r="F203" s="87"/>
      <c r="G203" s="158"/>
      <c r="H203" s="63" t="s">
        <v>70</v>
      </c>
      <c r="I203" s="149" t="s">
        <v>268</v>
      </c>
      <c r="J203" s="66" t="str">
        <f t="shared" si="1"/>
        <v>02 - febrero</v>
      </c>
      <c r="K203" s="66" t="str">
        <f t="shared" si="2"/>
        <v>2026</v>
      </c>
      <c r="L203" s="69"/>
    </row>
    <row r="204" ht="22.5" hidden="1" customHeight="1">
      <c r="A204" s="77" t="s">
        <v>114</v>
      </c>
      <c r="B204" s="63" t="s">
        <v>112</v>
      </c>
      <c r="C204" s="159">
        <v>25000.0</v>
      </c>
      <c r="D204" s="160">
        <v>46054.0</v>
      </c>
      <c r="E204" s="160">
        <v>46054.0</v>
      </c>
      <c r="F204" s="84"/>
      <c r="G204" s="161" t="s">
        <v>206</v>
      </c>
      <c r="H204" s="162" t="s">
        <v>69</v>
      </c>
      <c r="I204" s="149" t="s">
        <v>268</v>
      </c>
      <c r="J204" s="150" t="str">
        <f t="shared" si="1"/>
        <v>02 - febrero</v>
      </c>
      <c r="K204" s="150" t="str">
        <f t="shared" si="2"/>
        <v>2026</v>
      </c>
      <c r="L204" s="80"/>
    </row>
    <row r="205" ht="22.5" hidden="1" customHeight="1">
      <c r="A205" s="68" t="s">
        <v>116</v>
      </c>
      <c r="B205" s="63" t="s">
        <v>112</v>
      </c>
      <c r="C205" s="93"/>
      <c r="D205" s="65">
        <v>46054.0</v>
      </c>
      <c r="E205" s="86"/>
      <c r="F205" s="87"/>
      <c r="G205" s="95"/>
      <c r="H205" s="115" t="s">
        <v>70</v>
      </c>
      <c r="I205" s="149" t="s">
        <v>268</v>
      </c>
      <c r="J205" s="66" t="str">
        <f t="shared" si="1"/>
        <v>02 - febrero</v>
      </c>
      <c r="K205" s="66" t="str">
        <f t="shared" si="2"/>
        <v>2026</v>
      </c>
      <c r="L205" s="69"/>
    </row>
    <row r="206" ht="22.5" hidden="1" customHeight="1">
      <c r="A206" s="77" t="s">
        <v>117</v>
      </c>
      <c r="B206" s="63" t="s">
        <v>112</v>
      </c>
      <c r="C206" s="159">
        <v>25000.0</v>
      </c>
      <c r="D206" s="160">
        <v>46054.0</v>
      </c>
      <c r="E206" s="160">
        <v>46054.0</v>
      </c>
      <c r="F206" s="84"/>
      <c r="G206" s="161" t="s">
        <v>206</v>
      </c>
      <c r="H206" s="162" t="s">
        <v>69</v>
      </c>
      <c r="I206" s="149" t="s">
        <v>268</v>
      </c>
      <c r="J206" s="150" t="str">
        <f t="shared" si="1"/>
        <v>02 - febrero</v>
      </c>
      <c r="K206" s="150" t="str">
        <f t="shared" si="2"/>
        <v>2026</v>
      </c>
      <c r="L206" s="80"/>
    </row>
    <row r="207" ht="22.5" hidden="1" customHeight="1">
      <c r="A207" s="68" t="s">
        <v>118</v>
      </c>
      <c r="B207" s="63" t="s">
        <v>112</v>
      </c>
      <c r="C207" s="157">
        <v>25000.0</v>
      </c>
      <c r="D207" s="65">
        <v>46054.0</v>
      </c>
      <c r="E207" s="65">
        <v>46054.0</v>
      </c>
      <c r="F207" s="87"/>
      <c r="G207" s="158" t="s">
        <v>206</v>
      </c>
      <c r="H207" s="67" t="s">
        <v>69</v>
      </c>
      <c r="I207" s="149" t="s">
        <v>268</v>
      </c>
      <c r="J207" s="66" t="str">
        <f t="shared" si="1"/>
        <v>02 - febrero</v>
      </c>
      <c r="K207" s="66" t="str">
        <f t="shared" si="2"/>
        <v>2026</v>
      </c>
      <c r="L207" s="69"/>
    </row>
    <row r="208" ht="22.5" hidden="1" customHeight="1">
      <c r="A208" s="77" t="s">
        <v>119</v>
      </c>
      <c r="B208" s="63" t="s">
        <v>112</v>
      </c>
      <c r="C208" s="90"/>
      <c r="D208" s="160">
        <v>46054.0</v>
      </c>
      <c r="E208" s="83"/>
      <c r="F208" s="84"/>
      <c r="G208" s="91"/>
      <c r="H208" s="133" t="s">
        <v>70</v>
      </c>
      <c r="I208" s="149" t="s">
        <v>268</v>
      </c>
      <c r="J208" s="150" t="str">
        <f t="shared" si="1"/>
        <v>02 - febrero</v>
      </c>
      <c r="K208" s="150" t="str">
        <f t="shared" si="2"/>
        <v>2026</v>
      </c>
      <c r="L208" s="80"/>
    </row>
    <row r="209" ht="22.5" hidden="1" customHeight="1">
      <c r="A209" s="68" t="s">
        <v>120</v>
      </c>
      <c r="B209" s="63" t="s">
        <v>112</v>
      </c>
      <c r="C209" s="157">
        <v>25000.0</v>
      </c>
      <c r="D209" s="65">
        <v>46054.0</v>
      </c>
      <c r="E209" s="65">
        <v>46054.0</v>
      </c>
      <c r="F209" s="87"/>
      <c r="G209" s="158" t="s">
        <v>206</v>
      </c>
      <c r="H209" s="67" t="s">
        <v>69</v>
      </c>
      <c r="I209" s="149" t="s">
        <v>268</v>
      </c>
      <c r="J209" s="66" t="str">
        <f t="shared" si="1"/>
        <v>02 - febrero</v>
      </c>
      <c r="K209" s="66" t="str">
        <f t="shared" si="2"/>
        <v>2026</v>
      </c>
      <c r="L209" s="69"/>
    </row>
    <row r="210" ht="22.5" hidden="1" customHeight="1">
      <c r="A210" s="77" t="s">
        <v>122</v>
      </c>
      <c r="B210" s="63" t="s">
        <v>112</v>
      </c>
      <c r="C210" s="159">
        <v>25000.0</v>
      </c>
      <c r="D210" s="160">
        <v>46054.0</v>
      </c>
      <c r="E210" s="160">
        <v>46054.0</v>
      </c>
      <c r="F210" s="84"/>
      <c r="G210" s="161" t="s">
        <v>206</v>
      </c>
      <c r="H210" s="162" t="s">
        <v>69</v>
      </c>
      <c r="I210" s="149" t="s">
        <v>268</v>
      </c>
      <c r="J210" s="150" t="str">
        <f t="shared" si="1"/>
        <v>02 - febrero</v>
      </c>
      <c r="K210" s="150" t="str">
        <f t="shared" si="2"/>
        <v>2026</v>
      </c>
      <c r="L210" s="80"/>
    </row>
    <row r="211" ht="22.5" hidden="1" customHeight="1">
      <c r="A211" s="68" t="s">
        <v>124</v>
      </c>
      <c r="B211" s="63" t="s">
        <v>112</v>
      </c>
      <c r="C211" s="157">
        <v>25000.0</v>
      </c>
      <c r="D211" s="65">
        <v>46054.0</v>
      </c>
      <c r="E211" s="65">
        <v>46054.0</v>
      </c>
      <c r="F211" s="87"/>
      <c r="G211" s="158" t="s">
        <v>206</v>
      </c>
      <c r="H211" s="67" t="s">
        <v>69</v>
      </c>
      <c r="I211" s="149" t="s">
        <v>268</v>
      </c>
      <c r="J211" s="66" t="str">
        <f t="shared" si="1"/>
        <v>02 - febrero</v>
      </c>
      <c r="K211" s="66" t="str">
        <f t="shared" si="2"/>
        <v>2026</v>
      </c>
      <c r="L211" s="69"/>
    </row>
    <row r="212" ht="22.5" hidden="1" customHeight="1">
      <c r="A212" s="70" t="s">
        <v>125</v>
      </c>
      <c r="B212" s="63" t="s">
        <v>112</v>
      </c>
      <c r="C212" s="159">
        <v>25000.0</v>
      </c>
      <c r="D212" s="160">
        <v>46055.0</v>
      </c>
      <c r="E212" s="160">
        <v>46054.0</v>
      </c>
      <c r="F212" s="84"/>
      <c r="G212" s="161" t="s">
        <v>206</v>
      </c>
      <c r="H212" s="162" t="s">
        <v>69</v>
      </c>
      <c r="I212" s="149" t="s">
        <v>268</v>
      </c>
      <c r="J212" s="73" t="str">
        <f t="shared" si="1"/>
        <v>02 - febrero</v>
      </c>
      <c r="K212" s="73" t="str">
        <f t="shared" si="2"/>
        <v>2026</v>
      </c>
      <c r="L212" s="80"/>
    </row>
    <row r="213" ht="22.5" hidden="1" customHeight="1">
      <c r="A213" s="62" t="s">
        <v>127</v>
      </c>
      <c r="B213" s="63" t="s">
        <v>112</v>
      </c>
      <c r="C213" s="157">
        <v>25000.0</v>
      </c>
      <c r="D213" s="65">
        <v>46056.0</v>
      </c>
      <c r="E213" s="65">
        <v>46054.0</v>
      </c>
      <c r="F213" s="87"/>
      <c r="G213" s="158" t="s">
        <v>206</v>
      </c>
      <c r="H213" s="67" t="s">
        <v>69</v>
      </c>
      <c r="I213" s="149" t="s">
        <v>268</v>
      </c>
      <c r="J213" s="66" t="str">
        <f t="shared" si="1"/>
        <v>02 - febrero</v>
      </c>
      <c r="K213" s="66" t="str">
        <f t="shared" si="2"/>
        <v>2026</v>
      </c>
      <c r="L213" s="69"/>
    </row>
    <row r="214" ht="22.5" hidden="1" customHeight="1">
      <c r="A214" s="70" t="s">
        <v>128</v>
      </c>
      <c r="B214" s="63" t="s">
        <v>112</v>
      </c>
      <c r="C214" s="159"/>
      <c r="D214" s="160">
        <v>46057.0</v>
      </c>
      <c r="E214" s="160"/>
      <c r="F214" s="84"/>
      <c r="G214" s="161"/>
      <c r="H214" s="163" t="s">
        <v>70</v>
      </c>
      <c r="I214" s="149" t="s">
        <v>268</v>
      </c>
      <c r="J214" s="73" t="str">
        <f t="shared" si="1"/>
        <v>02 - febrero</v>
      </c>
      <c r="K214" s="73" t="str">
        <f t="shared" si="2"/>
        <v>2026</v>
      </c>
      <c r="L214" s="80"/>
    </row>
    <row r="215" ht="22.5" hidden="1" customHeight="1">
      <c r="A215" s="164" t="s">
        <v>130</v>
      </c>
      <c r="B215" s="63" t="s">
        <v>112</v>
      </c>
      <c r="C215" s="93"/>
      <c r="D215" s="65">
        <v>46058.0</v>
      </c>
      <c r="E215" s="86"/>
      <c r="F215" s="87"/>
      <c r="G215" s="95"/>
      <c r="H215" s="115" t="s">
        <v>70</v>
      </c>
      <c r="I215" s="149" t="s">
        <v>268</v>
      </c>
      <c r="J215" s="66" t="str">
        <f t="shared" si="1"/>
        <v>02 - febrero</v>
      </c>
      <c r="K215" s="66" t="str">
        <f t="shared" si="2"/>
        <v>2026</v>
      </c>
      <c r="L215" s="69"/>
    </row>
    <row r="216" ht="22.5" hidden="1" customHeight="1">
      <c r="A216" s="70" t="s">
        <v>131</v>
      </c>
      <c r="B216" s="63" t="s">
        <v>112</v>
      </c>
      <c r="C216" s="159">
        <v>25000.0</v>
      </c>
      <c r="D216" s="160">
        <v>46059.0</v>
      </c>
      <c r="E216" s="160">
        <v>46054.0</v>
      </c>
      <c r="F216" s="84"/>
      <c r="G216" s="161" t="s">
        <v>206</v>
      </c>
      <c r="H216" s="162" t="s">
        <v>69</v>
      </c>
      <c r="I216" s="149" t="s">
        <v>268</v>
      </c>
      <c r="J216" s="73" t="str">
        <f t="shared" si="1"/>
        <v>02 - febrero</v>
      </c>
      <c r="K216" s="73" t="str">
        <f t="shared" si="2"/>
        <v>2026</v>
      </c>
      <c r="L216" s="80"/>
    </row>
    <row r="217" ht="22.5" customHeight="1">
      <c r="A217" s="62" t="s">
        <v>132</v>
      </c>
      <c r="B217" s="63" t="s">
        <v>112</v>
      </c>
      <c r="C217" s="93"/>
      <c r="D217" s="65">
        <v>46060.0</v>
      </c>
      <c r="E217" s="86"/>
      <c r="F217" s="87"/>
      <c r="G217" s="95"/>
      <c r="H217" s="115" t="s">
        <v>70</v>
      </c>
      <c r="I217" s="149" t="s">
        <v>268</v>
      </c>
      <c r="J217" s="66" t="str">
        <f t="shared" si="1"/>
        <v>02 - febrero</v>
      </c>
      <c r="K217" s="66" t="str">
        <f t="shared" si="2"/>
        <v>2026</v>
      </c>
      <c r="L217" s="69"/>
    </row>
    <row r="218" ht="22.5" hidden="1" customHeight="1">
      <c r="A218" s="70" t="s">
        <v>133</v>
      </c>
      <c r="B218" s="63" t="s">
        <v>112</v>
      </c>
      <c r="C218" s="159">
        <v>25000.0</v>
      </c>
      <c r="D218" s="160">
        <v>46061.0</v>
      </c>
      <c r="E218" s="160">
        <v>46054.0</v>
      </c>
      <c r="F218" s="84"/>
      <c r="G218" s="161" t="s">
        <v>206</v>
      </c>
      <c r="H218" s="162" t="s">
        <v>69</v>
      </c>
      <c r="I218" s="149" t="s">
        <v>268</v>
      </c>
      <c r="J218" s="73" t="str">
        <f t="shared" si="1"/>
        <v>02 - febrero</v>
      </c>
      <c r="K218" s="73" t="str">
        <f t="shared" si="2"/>
        <v>2026</v>
      </c>
      <c r="L218" s="80"/>
    </row>
    <row r="219" ht="22.5" hidden="1" customHeight="1">
      <c r="A219" s="68" t="s">
        <v>113</v>
      </c>
      <c r="B219" s="63" t="s">
        <v>112</v>
      </c>
      <c r="C219" s="157">
        <v>30000.0</v>
      </c>
      <c r="D219" s="65">
        <v>46082.0</v>
      </c>
      <c r="E219" s="65">
        <v>46082.0</v>
      </c>
      <c r="F219" s="87"/>
      <c r="G219" s="158" t="s">
        <v>206</v>
      </c>
      <c r="H219" s="67" t="s">
        <v>69</v>
      </c>
      <c r="I219" s="149" t="s">
        <v>268</v>
      </c>
      <c r="J219" s="66" t="str">
        <f t="shared" si="1"/>
        <v>03 - marzo</v>
      </c>
      <c r="K219" s="66" t="str">
        <f t="shared" si="2"/>
        <v>2026</v>
      </c>
      <c r="L219" s="69"/>
    </row>
    <row r="220" ht="22.5" hidden="1" customHeight="1">
      <c r="A220" s="77" t="s">
        <v>114</v>
      </c>
      <c r="B220" s="63" t="s">
        <v>112</v>
      </c>
      <c r="C220" s="159">
        <v>30000.0</v>
      </c>
      <c r="D220" s="160">
        <v>46082.0</v>
      </c>
      <c r="E220" s="160">
        <v>46082.0</v>
      </c>
      <c r="F220" s="84"/>
      <c r="G220" s="161" t="s">
        <v>206</v>
      </c>
      <c r="H220" s="162" t="s">
        <v>69</v>
      </c>
      <c r="I220" s="149" t="s">
        <v>268</v>
      </c>
      <c r="J220" s="150" t="str">
        <f t="shared" si="1"/>
        <v>03 - marzo</v>
      </c>
      <c r="K220" s="150" t="str">
        <f t="shared" si="2"/>
        <v>2026</v>
      </c>
      <c r="L220" s="80"/>
    </row>
    <row r="221" ht="22.5" hidden="1" customHeight="1">
      <c r="A221" s="68" t="s">
        <v>116</v>
      </c>
      <c r="B221" s="63" t="s">
        <v>112</v>
      </c>
      <c r="C221" s="157">
        <v>30000.0</v>
      </c>
      <c r="D221" s="65">
        <v>46082.0</v>
      </c>
      <c r="E221" s="65">
        <v>46082.0</v>
      </c>
      <c r="F221" s="87"/>
      <c r="G221" s="158" t="s">
        <v>206</v>
      </c>
      <c r="H221" s="67" t="s">
        <v>69</v>
      </c>
      <c r="I221" s="149" t="s">
        <v>268</v>
      </c>
      <c r="J221" s="66" t="str">
        <f t="shared" si="1"/>
        <v>03 - marzo</v>
      </c>
      <c r="K221" s="66" t="str">
        <f t="shared" si="2"/>
        <v>2026</v>
      </c>
      <c r="L221" s="69"/>
    </row>
    <row r="222" ht="22.5" hidden="1" customHeight="1">
      <c r="A222" s="77" t="s">
        <v>117</v>
      </c>
      <c r="B222" s="63" t="s">
        <v>112</v>
      </c>
      <c r="C222" s="159">
        <v>30000.0</v>
      </c>
      <c r="D222" s="160">
        <v>46082.0</v>
      </c>
      <c r="E222" s="160">
        <v>46082.0</v>
      </c>
      <c r="F222" s="84"/>
      <c r="G222" s="161" t="s">
        <v>206</v>
      </c>
      <c r="H222" s="162" t="s">
        <v>69</v>
      </c>
      <c r="I222" s="149" t="s">
        <v>268</v>
      </c>
      <c r="J222" s="150" t="str">
        <f t="shared" si="1"/>
        <v>03 - marzo</v>
      </c>
      <c r="K222" s="150" t="str">
        <f t="shared" si="2"/>
        <v>2026</v>
      </c>
      <c r="L222" s="80"/>
    </row>
    <row r="223" ht="22.5" hidden="1" customHeight="1">
      <c r="A223" s="68" t="s">
        <v>118</v>
      </c>
      <c r="B223" s="63" t="s">
        <v>112</v>
      </c>
      <c r="C223" s="157">
        <v>30000.0</v>
      </c>
      <c r="D223" s="65">
        <v>46082.0</v>
      </c>
      <c r="E223" s="65">
        <v>46082.0</v>
      </c>
      <c r="F223" s="87"/>
      <c r="G223" s="158" t="s">
        <v>206</v>
      </c>
      <c r="H223" s="67" t="s">
        <v>69</v>
      </c>
      <c r="I223" s="149" t="s">
        <v>268</v>
      </c>
      <c r="J223" s="66" t="str">
        <f t="shared" si="1"/>
        <v>03 - marzo</v>
      </c>
      <c r="K223" s="66" t="str">
        <f t="shared" si="2"/>
        <v>2026</v>
      </c>
      <c r="L223" s="69"/>
    </row>
    <row r="224" ht="22.5" hidden="1" customHeight="1">
      <c r="A224" s="77" t="s">
        <v>119</v>
      </c>
      <c r="B224" s="63" t="s">
        <v>112</v>
      </c>
      <c r="C224" s="159">
        <v>30000.0</v>
      </c>
      <c r="D224" s="160">
        <v>46082.0</v>
      </c>
      <c r="E224" s="160">
        <v>46082.0</v>
      </c>
      <c r="F224" s="84"/>
      <c r="G224" s="161" t="s">
        <v>206</v>
      </c>
      <c r="H224" s="162" t="s">
        <v>69</v>
      </c>
      <c r="I224" s="149" t="s">
        <v>268</v>
      </c>
      <c r="J224" s="150" t="str">
        <f t="shared" si="1"/>
        <v>03 - marzo</v>
      </c>
      <c r="K224" s="150" t="str">
        <f t="shared" si="2"/>
        <v>2026</v>
      </c>
      <c r="L224" s="80"/>
    </row>
    <row r="225" ht="22.5" hidden="1" customHeight="1">
      <c r="A225" s="68" t="s">
        <v>120</v>
      </c>
      <c r="B225" s="63" t="s">
        <v>112</v>
      </c>
      <c r="C225" s="157">
        <v>30000.0</v>
      </c>
      <c r="D225" s="65">
        <v>46082.0</v>
      </c>
      <c r="E225" s="65">
        <v>46082.0</v>
      </c>
      <c r="F225" s="87"/>
      <c r="G225" s="158" t="s">
        <v>206</v>
      </c>
      <c r="H225" s="67" t="s">
        <v>69</v>
      </c>
      <c r="I225" s="149" t="s">
        <v>268</v>
      </c>
      <c r="J225" s="66" t="str">
        <f t="shared" si="1"/>
        <v>03 - marzo</v>
      </c>
      <c r="K225" s="66" t="str">
        <f t="shared" si="2"/>
        <v>2026</v>
      </c>
      <c r="L225" s="69"/>
    </row>
    <row r="226" ht="22.5" hidden="1" customHeight="1">
      <c r="A226" s="77" t="s">
        <v>122</v>
      </c>
      <c r="B226" s="63" t="s">
        <v>112</v>
      </c>
      <c r="C226" s="159">
        <v>30000.0</v>
      </c>
      <c r="D226" s="160">
        <v>46082.0</v>
      </c>
      <c r="E226" s="160">
        <v>46082.0</v>
      </c>
      <c r="F226" s="84"/>
      <c r="G226" s="161" t="s">
        <v>206</v>
      </c>
      <c r="H226" s="162" t="s">
        <v>69</v>
      </c>
      <c r="I226" s="149" t="s">
        <v>268</v>
      </c>
      <c r="J226" s="150" t="str">
        <f t="shared" si="1"/>
        <v>03 - marzo</v>
      </c>
      <c r="K226" s="150" t="str">
        <f t="shared" si="2"/>
        <v>2026</v>
      </c>
      <c r="L226" s="80"/>
    </row>
    <row r="227" ht="22.5" hidden="1" customHeight="1">
      <c r="A227" s="68" t="s">
        <v>124</v>
      </c>
      <c r="B227" s="63" t="s">
        <v>112</v>
      </c>
      <c r="C227" s="157">
        <v>30000.0</v>
      </c>
      <c r="D227" s="65">
        <v>46082.0</v>
      </c>
      <c r="E227" s="65">
        <v>46082.0</v>
      </c>
      <c r="F227" s="87"/>
      <c r="G227" s="158" t="s">
        <v>206</v>
      </c>
      <c r="H227" s="67" t="s">
        <v>69</v>
      </c>
      <c r="I227" s="149" t="s">
        <v>268</v>
      </c>
      <c r="J227" s="66" t="str">
        <f t="shared" si="1"/>
        <v>03 - marzo</v>
      </c>
      <c r="K227" s="66" t="str">
        <f t="shared" si="2"/>
        <v>2026</v>
      </c>
      <c r="L227" s="69"/>
    </row>
    <row r="228" ht="22.5" hidden="1" customHeight="1">
      <c r="A228" s="70" t="s">
        <v>125</v>
      </c>
      <c r="B228" s="63" t="s">
        <v>112</v>
      </c>
      <c r="C228" s="159">
        <v>30000.0</v>
      </c>
      <c r="D228" s="160">
        <v>46082.0</v>
      </c>
      <c r="E228" s="160">
        <v>46082.0</v>
      </c>
      <c r="F228" s="84"/>
      <c r="G228" s="161" t="s">
        <v>206</v>
      </c>
      <c r="H228" s="162" t="s">
        <v>69</v>
      </c>
      <c r="I228" s="149" t="s">
        <v>268</v>
      </c>
      <c r="J228" s="73" t="str">
        <f t="shared" si="1"/>
        <v>03 - marzo</v>
      </c>
      <c r="K228" s="73" t="str">
        <f t="shared" si="2"/>
        <v>2026</v>
      </c>
      <c r="L228" s="80"/>
    </row>
    <row r="229" ht="22.5" hidden="1" customHeight="1">
      <c r="A229" s="62" t="s">
        <v>127</v>
      </c>
      <c r="B229" s="63" t="s">
        <v>112</v>
      </c>
      <c r="C229" s="157">
        <v>30000.0</v>
      </c>
      <c r="D229" s="65">
        <v>46082.0</v>
      </c>
      <c r="E229" s="65">
        <v>46082.0</v>
      </c>
      <c r="F229" s="87"/>
      <c r="G229" s="158" t="s">
        <v>206</v>
      </c>
      <c r="H229" s="67" t="s">
        <v>69</v>
      </c>
      <c r="I229" s="149" t="s">
        <v>268</v>
      </c>
      <c r="J229" s="66" t="str">
        <f t="shared" si="1"/>
        <v>03 - marzo</v>
      </c>
      <c r="K229" s="66" t="str">
        <f t="shared" si="2"/>
        <v>2026</v>
      </c>
      <c r="L229" s="69"/>
    </row>
    <row r="230" ht="22.5" hidden="1" customHeight="1">
      <c r="A230" s="70" t="s">
        <v>128</v>
      </c>
      <c r="B230" s="63" t="s">
        <v>112</v>
      </c>
      <c r="C230" s="159">
        <v>30000.0</v>
      </c>
      <c r="D230" s="160">
        <v>46082.0</v>
      </c>
      <c r="E230" s="160">
        <v>46082.0</v>
      </c>
      <c r="F230" s="84"/>
      <c r="G230" s="161" t="s">
        <v>206</v>
      </c>
      <c r="H230" s="162" t="s">
        <v>69</v>
      </c>
      <c r="I230" s="149" t="s">
        <v>268</v>
      </c>
      <c r="J230" s="73" t="str">
        <f t="shared" si="1"/>
        <v>03 - marzo</v>
      </c>
      <c r="K230" s="73" t="str">
        <f t="shared" si="2"/>
        <v>2026</v>
      </c>
      <c r="L230" s="80"/>
    </row>
    <row r="231" ht="22.5" hidden="1" customHeight="1">
      <c r="A231" s="164" t="s">
        <v>130</v>
      </c>
      <c r="B231" s="63" t="s">
        <v>112</v>
      </c>
      <c r="C231" s="157">
        <v>30000.0</v>
      </c>
      <c r="D231" s="65">
        <v>46082.0</v>
      </c>
      <c r="E231" s="65">
        <v>46082.0</v>
      </c>
      <c r="F231" s="87"/>
      <c r="G231" s="158" t="s">
        <v>206</v>
      </c>
      <c r="H231" s="67" t="s">
        <v>69</v>
      </c>
      <c r="I231" s="149" t="s">
        <v>268</v>
      </c>
      <c r="J231" s="66" t="str">
        <f t="shared" si="1"/>
        <v>03 - marzo</v>
      </c>
      <c r="K231" s="66" t="str">
        <f t="shared" si="2"/>
        <v>2026</v>
      </c>
      <c r="L231" s="69"/>
    </row>
    <row r="232" ht="22.5" hidden="1" customHeight="1">
      <c r="A232" s="70" t="s">
        <v>131</v>
      </c>
      <c r="B232" s="63" t="s">
        <v>112</v>
      </c>
      <c r="C232" s="159">
        <v>30000.0</v>
      </c>
      <c r="D232" s="160">
        <v>46082.0</v>
      </c>
      <c r="E232" s="160">
        <v>46082.0</v>
      </c>
      <c r="F232" s="84"/>
      <c r="G232" s="161" t="s">
        <v>206</v>
      </c>
      <c r="H232" s="162" t="s">
        <v>69</v>
      </c>
      <c r="I232" s="149" t="s">
        <v>268</v>
      </c>
      <c r="J232" s="73" t="str">
        <f t="shared" si="1"/>
        <v>03 - marzo</v>
      </c>
      <c r="K232" s="73" t="str">
        <f t="shared" si="2"/>
        <v>2026</v>
      </c>
      <c r="L232" s="80"/>
    </row>
    <row r="233" ht="22.5" customHeight="1">
      <c r="A233" s="62" t="s">
        <v>132</v>
      </c>
      <c r="B233" s="63" t="s">
        <v>112</v>
      </c>
      <c r="C233" s="157">
        <v>30000.0</v>
      </c>
      <c r="D233" s="65">
        <v>46082.0</v>
      </c>
      <c r="E233" s="65">
        <v>46082.0</v>
      </c>
      <c r="F233" s="87"/>
      <c r="G233" s="158" t="s">
        <v>206</v>
      </c>
      <c r="H233" s="67" t="s">
        <v>69</v>
      </c>
      <c r="I233" s="149" t="s">
        <v>268</v>
      </c>
      <c r="J233" s="66" t="str">
        <f t="shared" si="1"/>
        <v>03 - marzo</v>
      </c>
      <c r="K233" s="66" t="str">
        <f t="shared" si="2"/>
        <v>2026</v>
      </c>
      <c r="L233" s="69"/>
    </row>
    <row r="234" ht="22.5" hidden="1" customHeight="1">
      <c r="A234" s="70" t="s">
        <v>133</v>
      </c>
      <c r="B234" s="63" t="s">
        <v>112</v>
      </c>
      <c r="C234" s="159">
        <v>30000.0</v>
      </c>
      <c r="D234" s="160">
        <v>46082.0</v>
      </c>
      <c r="E234" s="160">
        <v>46082.0</v>
      </c>
      <c r="F234" s="84"/>
      <c r="G234" s="161" t="s">
        <v>206</v>
      </c>
      <c r="H234" s="162" t="s">
        <v>69</v>
      </c>
      <c r="I234" s="149" t="s">
        <v>268</v>
      </c>
      <c r="J234" s="73" t="str">
        <f t="shared" si="1"/>
        <v>03 - marzo</v>
      </c>
      <c r="K234" s="73" t="str">
        <f t="shared" si="2"/>
        <v>2026</v>
      </c>
      <c r="L234" s="80"/>
    </row>
    <row r="235" ht="22.5" hidden="1" customHeight="1">
      <c r="A235" s="68" t="s">
        <v>113</v>
      </c>
      <c r="B235" s="63" t="s">
        <v>112</v>
      </c>
      <c r="C235" s="157">
        <v>30000.0</v>
      </c>
      <c r="D235" s="65">
        <v>46113.0</v>
      </c>
      <c r="E235" s="65">
        <v>46113.0</v>
      </c>
      <c r="F235" s="87"/>
      <c r="G235" s="158" t="s">
        <v>206</v>
      </c>
      <c r="H235" s="67" t="s">
        <v>69</v>
      </c>
      <c r="I235" s="149" t="s">
        <v>268</v>
      </c>
      <c r="J235" s="66" t="str">
        <f t="shared" si="1"/>
        <v>04 - abril</v>
      </c>
      <c r="K235" s="66" t="str">
        <f t="shared" si="2"/>
        <v>2026</v>
      </c>
      <c r="L235" s="69"/>
    </row>
    <row r="236" ht="22.5" hidden="1" customHeight="1">
      <c r="A236" s="77" t="s">
        <v>114</v>
      </c>
      <c r="B236" s="63" t="s">
        <v>112</v>
      </c>
      <c r="C236" s="159">
        <v>30000.0</v>
      </c>
      <c r="D236" s="160">
        <v>46113.0</v>
      </c>
      <c r="E236" s="160">
        <v>46113.0</v>
      </c>
      <c r="F236" s="84"/>
      <c r="G236" s="161" t="s">
        <v>206</v>
      </c>
      <c r="H236" s="162" t="s">
        <v>69</v>
      </c>
      <c r="I236" s="149" t="s">
        <v>268</v>
      </c>
      <c r="J236" s="150" t="str">
        <f t="shared" si="1"/>
        <v>04 - abril</v>
      </c>
      <c r="K236" s="150" t="str">
        <f t="shared" si="2"/>
        <v>2026</v>
      </c>
      <c r="L236" s="80"/>
    </row>
    <row r="237" ht="22.5" hidden="1" customHeight="1">
      <c r="A237" s="68" t="s">
        <v>116</v>
      </c>
      <c r="B237" s="63" t="s">
        <v>112</v>
      </c>
      <c r="C237" s="157">
        <v>30000.0</v>
      </c>
      <c r="D237" s="65">
        <v>46113.0</v>
      </c>
      <c r="E237" s="65">
        <v>46113.0</v>
      </c>
      <c r="F237" s="87"/>
      <c r="G237" s="158" t="s">
        <v>206</v>
      </c>
      <c r="H237" s="67" t="s">
        <v>69</v>
      </c>
      <c r="I237" s="149" t="s">
        <v>268</v>
      </c>
      <c r="J237" s="66" t="str">
        <f t="shared" si="1"/>
        <v>04 - abril</v>
      </c>
      <c r="K237" s="66" t="str">
        <f t="shared" si="2"/>
        <v>2026</v>
      </c>
      <c r="L237" s="69"/>
    </row>
    <row r="238" ht="22.5" hidden="1" customHeight="1">
      <c r="A238" s="77" t="s">
        <v>117</v>
      </c>
      <c r="B238" s="63" t="s">
        <v>112</v>
      </c>
      <c r="C238" s="159">
        <v>30000.0</v>
      </c>
      <c r="D238" s="160">
        <v>46113.0</v>
      </c>
      <c r="E238" s="160">
        <v>46113.0</v>
      </c>
      <c r="F238" s="84"/>
      <c r="G238" s="161" t="s">
        <v>206</v>
      </c>
      <c r="H238" s="162" t="s">
        <v>69</v>
      </c>
      <c r="I238" s="149" t="s">
        <v>268</v>
      </c>
      <c r="J238" s="150" t="str">
        <f t="shared" si="1"/>
        <v>04 - abril</v>
      </c>
      <c r="K238" s="150" t="str">
        <f t="shared" si="2"/>
        <v>2026</v>
      </c>
      <c r="L238" s="80"/>
    </row>
    <row r="239" ht="22.5" hidden="1" customHeight="1">
      <c r="A239" s="68" t="s">
        <v>118</v>
      </c>
      <c r="B239" s="63" t="s">
        <v>112</v>
      </c>
      <c r="C239" s="157">
        <v>30000.0</v>
      </c>
      <c r="D239" s="65">
        <v>46113.0</v>
      </c>
      <c r="E239" s="65">
        <v>46113.0</v>
      </c>
      <c r="F239" s="87"/>
      <c r="G239" s="158" t="s">
        <v>206</v>
      </c>
      <c r="H239" s="67" t="s">
        <v>69</v>
      </c>
      <c r="I239" s="149" t="s">
        <v>268</v>
      </c>
      <c r="J239" s="66" t="str">
        <f t="shared" si="1"/>
        <v>04 - abril</v>
      </c>
      <c r="K239" s="66" t="str">
        <f t="shared" si="2"/>
        <v>2026</v>
      </c>
      <c r="L239" s="69"/>
    </row>
    <row r="240" ht="22.5" hidden="1" customHeight="1">
      <c r="A240" s="77" t="s">
        <v>119</v>
      </c>
      <c r="B240" s="63" t="s">
        <v>112</v>
      </c>
      <c r="C240" s="159">
        <v>30000.0</v>
      </c>
      <c r="D240" s="160">
        <v>46113.0</v>
      </c>
      <c r="E240" s="160">
        <v>46113.0</v>
      </c>
      <c r="F240" s="84"/>
      <c r="G240" s="161" t="s">
        <v>206</v>
      </c>
      <c r="H240" s="162" t="s">
        <v>69</v>
      </c>
      <c r="I240" s="149" t="s">
        <v>268</v>
      </c>
      <c r="J240" s="150" t="str">
        <f t="shared" si="1"/>
        <v>04 - abril</v>
      </c>
      <c r="K240" s="150" t="str">
        <f t="shared" si="2"/>
        <v>2026</v>
      </c>
      <c r="L240" s="80"/>
    </row>
    <row r="241" ht="22.5" hidden="1" customHeight="1">
      <c r="A241" s="68" t="s">
        <v>120</v>
      </c>
      <c r="B241" s="63" t="s">
        <v>112</v>
      </c>
      <c r="C241" s="157">
        <v>30000.0</v>
      </c>
      <c r="D241" s="65">
        <v>46113.0</v>
      </c>
      <c r="E241" s="65">
        <v>46113.0</v>
      </c>
      <c r="F241" s="87"/>
      <c r="G241" s="158" t="s">
        <v>206</v>
      </c>
      <c r="H241" s="67" t="s">
        <v>69</v>
      </c>
      <c r="I241" s="149" t="s">
        <v>268</v>
      </c>
      <c r="J241" s="66" t="str">
        <f t="shared" si="1"/>
        <v>04 - abril</v>
      </c>
      <c r="K241" s="66" t="str">
        <f t="shared" si="2"/>
        <v>2026</v>
      </c>
      <c r="L241" s="69"/>
    </row>
    <row r="242" ht="22.5" hidden="1" customHeight="1">
      <c r="A242" s="77" t="s">
        <v>122</v>
      </c>
      <c r="B242" s="63" t="s">
        <v>112</v>
      </c>
      <c r="C242" s="159">
        <v>30000.0</v>
      </c>
      <c r="D242" s="160">
        <v>46113.0</v>
      </c>
      <c r="E242" s="160">
        <v>46113.0</v>
      </c>
      <c r="F242" s="84"/>
      <c r="G242" s="161" t="s">
        <v>206</v>
      </c>
      <c r="H242" s="162" t="s">
        <v>69</v>
      </c>
      <c r="I242" s="149" t="s">
        <v>268</v>
      </c>
      <c r="J242" s="150" t="str">
        <f t="shared" si="1"/>
        <v>04 - abril</v>
      </c>
      <c r="K242" s="150" t="str">
        <f t="shared" si="2"/>
        <v>2026</v>
      </c>
      <c r="L242" s="80"/>
    </row>
    <row r="243" ht="22.5" hidden="1" customHeight="1">
      <c r="A243" s="68" t="s">
        <v>124</v>
      </c>
      <c r="B243" s="63" t="s">
        <v>112</v>
      </c>
      <c r="C243" s="157">
        <v>30000.0</v>
      </c>
      <c r="D243" s="65">
        <v>46113.0</v>
      </c>
      <c r="E243" s="65">
        <v>46113.0</v>
      </c>
      <c r="F243" s="87"/>
      <c r="G243" s="158" t="s">
        <v>206</v>
      </c>
      <c r="H243" s="67" t="s">
        <v>69</v>
      </c>
      <c r="I243" s="149" t="s">
        <v>268</v>
      </c>
      <c r="J243" s="66" t="str">
        <f t="shared" si="1"/>
        <v>04 - abril</v>
      </c>
      <c r="K243" s="66" t="str">
        <f t="shared" si="2"/>
        <v>2026</v>
      </c>
      <c r="L243" s="69"/>
    </row>
    <row r="244" ht="22.5" hidden="1" customHeight="1">
      <c r="A244" s="70" t="s">
        <v>125</v>
      </c>
      <c r="B244" s="63" t="s">
        <v>112</v>
      </c>
      <c r="C244" s="159">
        <v>30000.0</v>
      </c>
      <c r="D244" s="160">
        <v>46113.0</v>
      </c>
      <c r="E244" s="160">
        <v>46113.0</v>
      </c>
      <c r="F244" s="84"/>
      <c r="G244" s="161" t="s">
        <v>206</v>
      </c>
      <c r="H244" s="162" t="s">
        <v>69</v>
      </c>
      <c r="I244" s="149" t="s">
        <v>268</v>
      </c>
      <c r="J244" s="73" t="str">
        <f t="shared" si="1"/>
        <v>04 - abril</v>
      </c>
      <c r="K244" s="73" t="str">
        <f t="shared" si="2"/>
        <v>2026</v>
      </c>
      <c r="L244" s="80"/>
    </row>
    <row r="245" ht="22.5" hidden="1" customHeight="1">
      <c r="A245" s="62" t="s">
        <v>127</v>
      </c>
      <c r="B245" s="63" t="s">
        <v>112</v>
      </c>
      <c r="C245" s="157">
        <v>30000.0</v>
      </c>
      <c r="D245" s="65">
        <v>46113.0</v>
      </c>
      <c r="E245" s="65">
        <v>46113.0</v>
      </c>
      <c r="F245" s="87"/>
      <c r="G245" s="158" t="s">
        <v>206</v>
      </c>
      <c r="H245" s="67" t="s">
        <v>69</v>
      </c>
      <c r="I245" s="149" t="s">
        <v>268</v>
      </c>
      <c r="J245" s="66" t="str">
        <f t="shared" si="1"/>
        <v>04 - abril</v>
      </c>
      <c r="K245" s="66" t="str">
        <f t="shared" si="2"/>
        <v>2026</v>
      </c>
      <c r="L245" s="69"/>
    </row>
    <row r="246" ht="22.5" hidden="1" customHeight="1">
      <c r="A246" s="70" t="s">
        <v>128</v>
      </c>
      <c r="B246" s="63" t="s">
        <v>112</v>
      </c>
      <c r="C246" s="159">
        <v>30000.0</v>
      </c>
      <c r="D246" s="160">
        <v>46113.0</v>
      </c>
      <c r="E246" s="160">
        <v>46113.0</v>
      </c>
      <c r="F246" s="84"/>
      <c r="G246" s="161" t="s">
        <v>206</v>
      </c>
      <c r="H246" s="162" t="s">
        <v>69</v>
      </c>
      <c r="I246" s="149" t="s">
        <v>268</v>
      </c>
      <c r="J246" s="73" t="str">
        <f t="shared" si="1"/>
        <v>04 - abril</v>
      </c>
      <c r="K246" s="73" t="str">
        <f t="shared" si="2"/>
        <v>2026</v>
      </c>
      <c r="L246" s="80"/>
    </row>
    <row r="247" ht="22.5" hidden="1" customHeight="1">
      <c r="A247" s="164" t="s">
        <v>130</v>
      </c>
      <c r="B247" s="63" t="s">
        <v>112</v>
      </c>
      <c r="C247" s="157">
        <v>30000.0</v>
      </c>
      <c r="D247" s="65">
        <v>46113.0</v>
      </c>
      <c r="E247" s="65">
        <v>46113.0</v>
      </c>
      <c r="F247" s="87"/>
      <c r="G247" s="158" t="s">
        <v>206</v>
      </c>
      <c r="H247" s="67" t="s">
        <v>69</v>
      </c>
      <c r="I247" s="149" t="s">
        <v>268</v>
      </c>
      <c r="J247" s="66" t="str">
        <f t="shared" si="1"/>
        <v>04 - abril</v>
      </c>
      <c r="K247" s="66" t="str">
        <f t="shared" si="2"/>
        <v>2026</v>
      </c>
      <c r="L247" s="69"/>
    </row>
    <row r="248" ht="22.5" hidden="1" customHeight="1">
      <c r="A248" s="70" t="s">
        <v>131</v>
      </c>
      <c r="B248" s="63" t="s">
        <v>112</v>
      </c>
      <c r="C248" s="159">
        <v>30000.0</v>
      </c>
      <c r="D248" s="160">
        <v>46113.0</v>
      </c>
      <c r="E248" s="160">
        <v>46113.0</v>
      </c>
      <c r="F248" s="84"/>
      <c r="G248" s="161" t="s">
        <v>206</v>
      </c>
      <c r="H248" s="162" t="s">
        <v>69</v>
      </c>
      <c r="I248" s="149" t="s">
        <v>268</v>
      </c>
      <c r="J248" s="73" t="str">
        <f t="shared" si="1"/>
        <v>04 - abril</v>
      </c>
      <c r="K248" s="73" t="str">
        <f t="shared" si="2"/>
        <v>2026</v>
      </c>
      <c r="L248" s="80"/>
    </row>
    <row r="249" ht="22.5" customHeight="1">
      <c r="A249" s="62" t="s">
        <v>132</v>
      </c>
      <c r="B249" s="63" t="s">
        <v>112</v>
      </c>
      <c r="C249" s="157">
        <v>30000.0</v>
      </c>
      <c r="D249" s="65">
        <v>46113.0</v>
      </c>
      <c r="E249" s="65">
        <v>46113.0</v>
      </c>
      <c r="F249" s="87"/>
      <c r="G249" s="158" t="s">
        <v>206</v>
      </c>
      <c r="H249" s="67" t="s">
        <v>69</v>
      </c>
      <c r="I249" s="149" t="s">
        <v>268</v>
      </c>
      <c r="J249" s="66" t="str">
        <f t="shared" si="1"/>
        <v>04 - abril</v>
      </c>
      <c r="K249" s="66" t="str">
        <f t="shared" si="2"/>
        <v>2026</v>
      </c>
      <c r="L249" s="69"/>
    </row>
    <row r="250" ht="22.5" hidden="1" customHeight="1">
      <c r="A250" s="70" t="s">
        <v>133</v>
      </c>
      <c r="B250" s="63" t="s">
        <v>112</v>
      </c>
      <c r="C250" s="159">
        <v>30000.0</v>
      </c>
      <c r="D250" s="160">
        <v>46113.0</v>
      </c>
      <c r="E250" s="160">
        <v>46113.0</v>
      </c>
      <c r="F250" s="84"/>
      <c r="G250" s="161" t="s">
        <v>206</v>
      </c>
      <c r="H250" s="162" t="s">
        <v>69</v>
      </c>
      <c r="I250" s="149" t="s">
        <v>268</v>
      </c>
      <c r="J250" s="73" t="str">
        <f t="shared" si="1"/>
        <v>04 - abril</v>
      </c>
      <c r="K250" s="73" t="str">
        <f t="shared" si="2"/>
        <v>2026</v>
      </c>
      <c r="L250" s="80"/>
    </row>
    <row r="251" ht="22.5" hidden="1" customHeight="1">
      <c r="A251" s="68" t="s">
        <v>113</v>
      </c>
      <c r="B251" s="63" t="s">
        <v>112</v>
      </c>
      <c r="C251" s="157">
        <v>30000.0</v>
      </c>
      <c r="D251" s="65">
        <v>46143.0</v>
      </c>
      <c r="E251" s="65">
        <v>46143.0</v>
      </c>
      <c r="F251" s="87"/>
      <c r="G251" s="158" t="s">
        <v>206</v>
      </c>
      <c r="H251" s="67" t="s">
        <v>69</v>
      </c>
      <c r="I251" s="149" t="s">
        <v>268</v>
      </c>
      <c r="J251" s="66" t="str">
        <f t="shared" si="1"/>
        <v>05 - mayo</v>
      </c>
      <c r="K251" s="66" t="str">
        <f t="shared" si="2"/>
        <v>2026</v>
      </c>
      <c r="L251" s="69"/>
    </row>
    <row r="252" ht="22.5" hidden="1" customHeight="1">
      <c r="A252" s="77" t="s">
        <v>114</v>
      </c>
      <c r="B252" s="63" t="s">
        <v>112</v>
      </c>
      <c r="C252" s="159">
        <v>30000.0</v>
      </c>
      <c r="D252" s="160">
        <v>46143.0</v>
      </c>
      <c r="E252" s="160">
        <v>46143.0</v>
      </c>
      <c r="F252" s="84"/>
      <c r="G252" s="161" t="s">
        <v>206</v>
      </c>
      <c r="H252" s="162" t="s">
        <v>69</v>
      </c>
      <c r="I252" s="149" t="s">
        <v>268</v>
      </c>
      <c r="J252" s="150" t="str">
        <f t="shared" si="1"/>
        <v>05 - mayo</v>
      </c>
      <c r="K252" s="150" t="str">
        <f t="shared" si="2"/>
        <v>2026</v>
      </c>
      <c r="L252" s="80"/>
    </row>
    <row r="253" ht="22.5" hidden="1" customHeight="1">
      <c r="A253" s="68" t="s">
        <v>116</v>
      </c>
      <c r="B253" s="63" t="s">
        <v>112</v>
      </c>
      <c r="C253" s="157">
        <v>30000.0</v>
      </c>
      <c r="D253" s="65">
        <v>46143.0</v>
      </c>
      <c r="E253" s="65">
        <v>46143.0</v>
      </c>
      <c r="F253" s="87"/>
      <c r="G253" s="158" t="s">
        <v>206</v>
      </c>
      <c r="H253" s="67" t="s">
        <v>69</v>
      </c>
      <c r="I253" s="149" t="s">
        <v>268</v>
      </c>
      <c r="J253" s="66" t="str">
        <f t="shared" si="1"/>
        <v>05 - mayo</v>
      </c>
      <c r="K253" s="66" t="str">
        <f t="shared" si="2"/>
        <v>2026</v>
      </c>
      <c r="L253" s="69"/>
    </row>
    <row r="254" ht="22.5" hidden="1" customHeight="1">
      <c r="A254" s="77" t="s">
        <v>117</v>
      </c>
      <c r="B254" s="63" t="s">
        <v>112</v>
      </c>
      <c r="C254" s="159">
        <v>30000.0</v>
      </c>
      <c r="D254" s="160">
        <v>46143.0</v>
      </c>
      <c r="E254" s="160">
        <v>46143.0</v>
      </c>
      <c r="F254" s="84"/>
      <c r="G254" s="161" t="s">
        <v>206</v>
      </c>
      <c r="H254" s="162" t="s">
        <v>69</v>
      </c>
      <c r="I254" s="149" t="s">
        <v>268</v>
      </c>
      <c r="J254" s="150" t="str">
        <f t="shared" si="1"/>
        <v>05 - mayo</v>
      </c>
      <c r="K254" s="150" t="str">
        <f t="shared" si="2"/>
        <v>2026</v>
      </c>
      <c r="L254" s="80"/>
    </row>
    <row r="255" ht="22.5" hidden="1" customHeight="1">
      <c r="A255" s="68" t="s">
        <v>118</v>
      </c>
      <c r="B255" s="63" t="s">
        <v>112</v>
      </c>
      <c r="C255" s="157">
        <v>30000.0</v>
      </c>
      <c r="D255" s="65">
        <v>46143.0</v>
      </c>
      <c r="E255" s="65">
        <v>46143.0</v>
      </c>
      <c r="F255" s="87"/>
      <c r="G255" s="158" t="s">
        <v>206</v>
      </c>
      <c r="H255" s="67" t="s">
        <v>69</v>
      </c>
      <c r="I255" s="149" t="s">
        <v>268</v>
      </c>
      <c r="J255" s="66" t="str">
        <f t="shared" si="1"/>
        <v>05 - mayo</v>
      </c>
      <c r="K255" s="66" t="str">
        <f t="shared" si="2"/>
        <v>2026</v>
      </c>
      <c r="L255" s="69"/>
    </row>
    <row r="256" ht="22.5" hidden="1" customHeight="1">
      <c r="A256" s="77" t="s">
        <v>119</v>
      </c>
      <c r="B256" s="63" t="s">
        <v>112</v>
      </c>
      <c r="C256" s="159">
        <v>30000.0</v>
      </c>
      <c r="D256" s="160">
        <v>46143.0</v>
      </c>
      <c r="E256" s="160">
        <v>46143.0</v>
      </c>
      <c r="F256" s="84"/>
      <c r="G256" s="161" t="s">
        <v>206</v>
      </c>
      <c r="H256" s="162" t="s">
        <v>69</v>
      </c>
      <c r="I256" s="149" t="s">
        <v>268</v>
      </c>
      <c r="J256" s="150" t="str">
        <f t="shared" si="1"/>
        <v>05 - mayo</v>
      </c>
      <c r="K256" s="150" t="str">
        <f t="shared" si="2"/>
        <v>2026</v>
      </c>
      <c r="L256" s="80"/>
    </row>
    <row r="257" ht="22.5" hidden="1" customHeight="1">
      <c r="A257" s="68" t="s">
        <v>120</v>
      </c>
      <c r="B257" s="63" t="s">
        <v>112</v>
      </c>
      <c r="C257" s="157">
        <v>30000.0</v>
      </c>
      <c r="D257" s="65">
        <v>46143.0</v>
      </c>
      <c r="E257" s="65">
        <v>46143.0</v>
      </c>
      <c r="F257" s="87"/>
      <c r="G257" s="158" t="s">
        <v>206</v>
      </c>
      <c r="H257" s="67" t="s">
        <v>69</v>
      </c>
      <c r="I257" s="149" t="s">
        <v>268</v>
      </c>
      <c r="J257" s="66" t="str">
        <f t="shared" si="1"/>
        <v>05 - mayo</v>
      </c>
      <c r="K257" s="66" t="str">
        <f t="shared" si="2"/>
        <v>2026</v>
      </c>
      <c r="L257" s="69"/>
    </row>
    <row r="258" ht="22.5" hidden="1" customHeight="1">
      <c r="A258" s="77" t="s">
        <v>122</v>
      </c>
      <c r="B258" s="63" t="s">
        <v>112</v>
      </c>
      <c r="C258" s="159">
        <v>30000.0</v>
      </c>
      <c r="D258" s="160">
        <v>46143.0</v>
      </c>
      <c r="E258" s="160">
        <v>46143.0</v>
      </c>
      <c r="F258" s="84"/>
      <c r="G258" s="161" t="s">
        <v>206</v>
      </c>
      <c r="H258" s="162" t="s">
        <v>69</v>
      </c>
      <c r="I258" s="149" t="s">
        <v>268</v>
      </c>
      <c r="J258" s="150" t="str">
        <f t="shared" si="1"/>
        <v>05 - mayo</v>
      </c>
      <c r="K258" s="150" t="str">
        <f t="shared" si="2"/>
        <v>2026</v>
      </c>
      <c r="L258" s="80"/>
    </row>
    <row r="259" ht="22.5" hidden="1" customHeight="1">
      <c r="A259" s="68" t="s">
        <v>124</v>
      </c>
      <c r="B259" s="63" t="s">
        <v>112</v>
      </c>
      <c r="C259" s="157">
        <v>30000.0</v>
      </c>
      <c r="D259" s="65">
        <v>46143.0</v>
      </c>
      <c r="E259" s="65">
        <v>46143.0</v>
      </c>
      <c r="F259" s="87"/>
      <c r="G259" s="158" t="s">
        <v>206</v>
      </c>
      <c r="H259" s="67" t="s">
        <v>69</v>
      </c>
      <c r="I259" s="149" t="s">
        <v>268</v>
      </c>
      <c r="J259" s="66" t="str">
        <f t="shared" si="1"/>
        <v>05 - mayo</v>
      </c>
      <c r="K259" s="66" t="str">
        <f t="shared" si="2"/>
        <v>2026</v>
      </c>
      <c r="L259" s="69"/>
    </row>
    <row r="260" ht="22.5" hidden="1" customHeight="1">
      <c r="A260" s="70" t="s">
        <v>125</v>
      </c>
      <c r="B260" s="63" t="s">
        <v>112</v>
      </c>
      <c r="C260" s="159">
        <v>30000.0</v>
      </c>
      <c r="D260" s="160">
        <v>46143.0</v>
      </c>
      <c r="E260" s="160">
        <v>46143.0</v>
      </c>
      <c r="F260" s="84"/>
      <c r="G260" s="161" t="s">
        <v>206</v>
      </c>
      <c r="H260" s="162" t="s">
        <v>69</v>
      </c>
      <c r="I260" s="149" t="s">
        <v>268</v>
      </c>
      <c r="J260" s="73" t="str">
        <f t="shared" si="1"/>
        <v>05 - mayo</v>
      </c>
      <c r="K260" s="73" t="str">
        <f t="shared" si="2"/>
        <v>2026</v>
      </c>
      <c r="L260" s="80"/>
    </row>
    <row r="261" ht="22.5" hidden="1" customHeight="1">
      <c r="A261" s="62" t="s">
        <v>127</v>
      </c>
      <c r="B261" s="63" t="s">
        <v>112</v>
      </c>
      <c r="C261" s="157">
        <v>30000.0</v>
      </c>
      <c r="D261" s="65">
        <v>46143.0</v>
      </c>
      <c r="E261" s="65">
        <v>46143.0</v>
      </c>
      <c r="F261" s="87"/>
      <c r="G261" s="158" t="s">
        <v>206</v>
      </c>
      <c r="H261" s="67" t="s">
        <v>69</v>
      </c>
      <c r="I261" s="149" t="s">
        <v>268</v>
      </c>
      <c r="J261" s="66" t="str">
        <f t="shared" si="1"/>
        <v>05 - mayo</v>
      </c>
      <c r="K261" s="66" t="str">
        <f t="shared" si="2"/>
        <v>2026</v>
      </c>
      <c r="L261" s="69"/>
    </row>
    <row r="262" ht="22.5" hidden="1" customHeight="1">
      <c r="A262" s="70" t="s">
        <v>128</v>
      </c>
      <c r="B262" s="63" t="s">
        <v>112</v>
      </c>
      <c r="C262" s="159">
        <v>30000.0</v>
      </c>
      <c r="D262" s="160">
        <v>46143.0</v>
      </c>
      <c r="E262" s="160">
        <v>46143.0</v>
      </c>
      <c r="F262" s="84"/>
      <c r="G262" s="161" t="s">
        <v>206</v>
      </c>
      <c r="H262" s="162" t="s">
        <v>69</v>
      </c>
      <c r="I262" s="149" t="s">
        <v>268</v>
      </c>
      <c r="J262" s="73" t="str">
        <f t="shared" si="1"/>
        <v>05 - mayo</v>
      </c>
      <c r="K262" s="73" t="str">
        <f t="shared" si="2"/>
        <v>2026</v>
      </c>
      <c r="L262" s="80"/>
    </row>
    <row r="263" ht="22.5" hidden="1" customHeight="1">
      <c r="A263" s="164" t="s">
        <v>130</v>
      </c>
      <c r="B263" s="63" t="s">
        <v>112</v>
      </c>
      <c r="C263" s="157">
        <v>30000.0</v>
      </c>
      <c r="D263" s="65">
        <v>46143.0</v>
      </c>
      <c r="E263" s="65">
        <v>46143.0</v>
      </c>
      <c r="F263" s="87"/>
      <c r="G263" s="158" t="s">
        <v>206</v>
      </c>
      <c r="H263" s="67" t="s">
        <v>69</v>
      </c>
      <c r="I263" s="149" t="s">
        <v>268</v>
      </c>
      <c r="J263" s="66" t="str">
        <f t="shared" si="1"/>
        <v>05 - mayo</v>
      </c>
      <c r="K263" s="66" t="str">
        <f t="shared" si="2"/>
        <v>2026</v>
      </c>
      <c r="L263" s="69"/>
    </row>
    <row r="264" ht="22.5" hidden="1" customHeight="1">
      <c r="A264" s="70" t="s">
        <v>131</v>
      </c>
      <c r="B264" s="63" t="s">
        <v>112</v>
      </c>
      <c r="C264" s="159">
        <v>30000.0</v>
      </c>
      <c r="D264" s="160">
        <v>46143.0</v>
      </c>
      <c r="E264" s="160">
        <v>46143.0</v>
      </c>
      <c r="F264" s="84"/>
      <c r="G264" s="161" t="s">
        <v>206</v>
      </c>
      <c r="H264" s="162" t="s">
        <v>69</v>
      </c>
      <c r="I264" s="149" t="s">
        <v>268</v>
      </c>
      <c r="J264" s="73" t="str">
        <f t="shared" si="1"/>
        <v>05 - mayo</v>
      </c>
      <c r="K264" s="73" t="str">
        <f t="shared" si="2"/>
        <v>2026</v>
      </c>
      <c r="L264" s="80"/>
    </row>
    <row r="265" ht="22.5" customHeight="1">
      <c r="A265" s="62" t="s">
        <v>132</v>
      </c>
      <c r="B265" s="63" t="s">
        <v>112</v>
      </c>
      <c r="C265" s="157">
        <v>30000.0</v>
      </c>
      <c r="D265" s="65">
        <v>46143.0</v>
      </c>
      <c r="E265" s="65">
        <v>46143.0</v>
      </c>
      <c r="F265" s="87"/>
      <c r="G265" s="158" t="s">
        <v>206</v>
      </c>
      <c r="H265" s="67" t="s">
        <v>69</v>
      </c>
      <c r="I265" s="149" t="s">
        <v>268</v>
      </c>
      <c r="J265" s="66" t="str">
        <f t="shared" si="1"/>
        <v>05 - mayo</v>
      </c>
      <c r="K265" s="66" t="str">
        <f t="shared" si="2"/>
        <v>2026</v>
      </c>
      <c r="L265" s="69"/>
    </row>
    <row r="266" ht="22.5" hidden="1" customHeight="1">
      <c r="A266" s="70" t="s">
        <v>133</v>
      </c>
      <c r="B266" s="63" t="s">
        <v>112</v>
      </c>
      <c r="C266" s="159">
        <v>30000.0</v>
      </c>
      <c r="D266" s="160">
        <v>46143.0</v>
      </c>
      <c r="E266" s="160">
        <v>46143.0</v>
      </c>
      <c r="F266" s="84"/>
      <c r="G266" s="161" t="s">
        <v>206</v>
      </c>
      <c r="H266" s="162" t="s">
        <v>69</v>
      </c>
      <c r="I266" s="149" t="s">
        <v>268</v>
      </c>
      <c r="J266" s="73" t="str">
        <f t="shared" si="1"/>
        <v>05 - mayo</v>
      </c>
      <c r="K266" s="73" t="str">
        <f t="shared" si="2"/>
        <v>2026</v>
      </c>
      <c r="L266" s="80"/>
    </row>
    <row r="267" ht="22.5" hidden="1" customHeight="1">
      <c r="A267" s="68" t="s">
        <v>113</v>
      </c>
      <c r="B267" s="63" t="s">
        <v>112</v>
      </c>
      <c r="C267" s="157">
        <v>30000.0</v>
      </c>
      <c r="D267" s="65">
        <v>46174.0</v>
      </c>
      <c r="E267" s="65">
        <v>46174.0</v>
      </c>
      <c r="F267" s="87"/>
      <c r="G267" s="158" t="s">
        <v>206</v>
      </c>
      <c r="H267" s="67" t="s">
        <v>69</v>
      </c>
      <c r="I267" s="149" t="s">
        <v>268</v>
      </c>
      <c r="J267" s="66" t="str">
        <f t="shared" si="1"/>
        <v>06 - junio</v>
      </c>
      <c r="K267" s="66" t="str">
        <f t="shared" si="2"/>
        <v>2026</v>
      </c>
      <c r="L267" s="69"/>
    </row>
    <row r="268" ht="22.5" hidden="1" customHeight="1">
      <c r="A268" s="77" t="s">
        <v>114</v>
      </c>
      <c r="B268" s="63" t="s">
        <v>112</v>
      </c>
      <c r="C268" s="159">
        <v>30000.0</v>
      </c>
      <c r="D268" s="160">
        <v>46174.0</v>
      </c>
      <c r="E268" s="160">
        <v>46174.0</v>
      </c>
      <c r="F268" s="84"/>
      <c r="G268" s="161" t="s">
        <v>206</v>
      </c>
      <c r="H268" s="162" t="s">
        <v>69</v>
      </c>
      <c r="I268" s="149" t="s">
        <v>268</v>
      </c>
      <c r="J268" s="150" t="str">
        <f t="shared" si="1"/>
        <v>06 - junio</v>
      </c>
      <c r="K268" s="150" t="str">
        <f t="shared" si="2"/>
        <v>2026</v>
      </c>
      <c r="L268" s="80"/>
    </row>
    <row r="269" ht="22.5" hidden="1" customHeight="1">
      <c r="A269" s="68" t="s">
        <v>116</v>
      </c>
      <c r="B269" s="63" t="s">
        <v>112</v>
      </c>
      <c r="C269" s="157">
        <v>30000.0</v>
      </c>
      <c r="D269" s="65">
        <v>46174.0</v>
      </c>
      <c r="E269" s="65">
        <v>46174.0</v>
      </c>
      <c r="F269" s="87"/>
      <c r="G269" s="158" t="s">
        <v>206</v>
      </c>
      <c r="H269" s="67" t="s">
        <v>69</v>
      </c>
      <c r="I269" s="149" t="s">
        <v>268</v>
      </c>
      <c r="J269" s="66" t="str">
        <f t="shared" si="1"/>
        <v>06 - junio</v>
      </c>
      <c r="K269" s="66" t="str">
        <f t="shared" si="2"/>
        <v>2026</v>
      </c>
      <c r="L269" s="69"/>
    </row>
    <row r="270" ht="22.5" hidden="1" customHeight="1">
      <c r="A270" s="77" t="s">
        <v>117</v>
      </c>
      <c r="B270" s="63" t="s">
        <v>112</v>
      </c>
      <c r="C270" s="159">
        <v>30000.0</v>
      </c>
      <c r="D270" s="160">
        <v>46174.0</v>
      </c>
      <c r="E270" s="160">
        <v>46174.0</v>
      </c>
      <c r="F270" s="84"/>
      <c r="G270" s="161" t="s">
        <v>206</v>
      </c>
      <c r="H270" s="162" t="s">
        <v>69</v>
      </c>
      <c r="I270" s="149" t="s">
        <v>268</v>
      </c>
      <c r="J270" s="150" t="str">
        <f t="shared" si="1"/>
        <v>06 - junio</v>
      </c>
      <c r="K270" s="150" t="str">
        <f t="shared" si="2"/>
        <v>2026</v>
      </c>
      <c r="L270" s="80"/>
    </row>
    <row r="271" ht="22.5" hidden="1" customHeight="1">
      <c r="A271" s="68" t="s">
        <v>118</v>
      </c>
      <c r="B271" s="63" t="s">
        <v>112</v>
      </c>
      <c r="C271" s="157">
        <v>30000.0</v>
      </c>
      <c r="D271" s="65">
        <v>46174.0</v>
      </c>
      <c r="E271" s="65">
        <v>46174.0</v>
      </c>
      <c r="F271" s="87"/>
      <c r="G271" s="158" t="s">
        <v>206</v>
      </c>
      <c r="H271" s="67" t="s">
        <v>69</v>
      </c>
      <c r="I271" s="149" t="s">
        <v>268</v>
      </c>
      <c r="J271" s="66" t="str">
        <f t="shared" si="1"/>
        <v>06 - junio</v>
      </c>
      <c r="K271" s="66" t="str">
        <f t="shared" si="2"/>
        <v>2026</v>
      </c>
      <c r="L271" s="69"/>
    </row>
    <row r="272" ht="22.5" hidden="1" customHeight="1">
      <c r="A272" s="77" t="s">
        <v>119</v>
      </c>
      <c r="B272" s="63" t="s">
        <v>112</v>
      </c>
      <c r="C272" s="159">
        <v>30000.0</v>
      </c>
      <c r="D272" s="160">
        <v>46174.0</v>
      </c>
      <c r="E272" s="160">
        <v>46174.0</v>
      </c>
      <c r="F272" s="84"/>
      <c r="G272" s="161" t="s">
        <v>206</v>
      </c>
      <c r="H272" s="162" t="s">
        <v>69</v>
      </c>
      <c r="I272" s="149" t="s">
        <v>268</v>
      </c>
      <c r="J272" s="150" t="str">
        <f t="shared" si="1"/>
        <v>06 - junio</v>
      </c>
      <c r="K272" s="150" t="str">
        <f t="shared" si="2"/>
        <v>2026</v>
      </c>
      <c r="L272" s="80"/>
    </row>
    <row r="273" ht="22.5" hidden="1" customHeight="1">
      <c r="A273" s="68" t="s">
        <v>120</v>
      </c>
      <c r="B273" s="63" t="s">
        <v>112</v>
      </c>
      <c r="C273" s="157">
        <v>30000.0</v>
      </c>
      <c r="D273" s="65">
        <v>46174.0</v>
      </c>
      <c r="E273" s="65">
        <v>46174.0</v>
      </c>
      <c r="F273" s="87"/>
      <c r="G273" s="158" t="s">
        <v>206</v>
      </c>
      <c r="H273" s="67" t="s">
        <v>69</v>
      </c>
      <c r="I273" s="149" t="s">
        <v>268</v>
      </c>
      <c r="J273" s="66" t="str">
        <f t="shared" si="1"/>
        <v>06 - junio</v>
      </c>
      <c r="K273" s="66" t="str">
        <f t="shared" si="2"/>
        <v>2026</v>
      </c>
      <c r="L273" s="69"/>
    </row>
    <row r="274" ht="22.5" hidden="1" customHeight="1">
      <c r="A274" s="77" t="s">
        <v>122</v>
      </c>
      <c r="B274" s="63" t="s">
        <v>112</v>
      </c>
      <c r="C274" s="159">
        <v>30000.0</v>
      </c>
      <c r="D274" s="160">
        <v>46174.0</v>
      </c>
      <c r="E274" s="160">
        <v>46174.0</v>
      </c>
      <c r="F274" s="84"/>
      <c r="G274" s="161" t="s">
        <v>206</v>
      </c>
      <c r="H274" s="162" t="s">
        <v>69</v>
      </c>
      <c r="I274" s="149" t="s">
        <v>268</v>
      </c>
      <c r="J274" s="150" t="str">
        <f t="shared" si="1"/>
        <v>06 - junio</v>
      </c>
      <c r="K274" s="150" t="str">
        <f t="shared" si="2"/>
        <v>2026</v>
      </c>
      <c r="L274" s="80"/>
    </row>
    <row r="275" ht="22.5" hidden="1" customHeight="1">
      <c r="A275" s="68" t="s">
        <v>124</v>
      </c>
      <c r="B275" s="63" t="s">
        <v>112</v>
      </c>
      <c r="C275" s="157">
        <v>30000.0</v>
      </c>
      <c r="D275" s="65">
        <v>46174.0</v>
      </c>
      <c r="E275" s="65">
        <v>46174.0</v>
      </c>
      <c r="F275" s="87"/>
      <c r="G275" s="158" t="s">
        <v>206</v>
      </c>
      <c r="H275" s="67" t="s">
        <v>69</v>
      </c>
      <c r="I275" s="149" t="s">
        <v>268</v>
      </c>
      <c r="J275" s="66" t="str">
        <f t="shared" si="1"/>
        <v>06 - junio</v>
      </c>
      <c r="K275" s="66" t="str">
        <f t="shared" si="2"/>
        <v>2026</v>
      </c>
      <c r="L275" s="69"/>
    </row>
    <row r="276" ht="22.5" hidden="1" customHeight="1">
      <c r="A276" s="70" t="s">
        <v>125</v>
      </c>
      <c r="B276" s="63" t="s">
        <v>112</v>
      </c>
      <c r="C276" s="159">
        <v>30000.0</v>
      </c>
      <c r="D276" s="160">
        <v>46174.0</v>
      </c>
      <c r="E276" s="160">
        <v>46174.0</v>
      </c>
      <c r="F276" s="84"/>
      <c r="G276" s="161" t="s">
        <v>206</v>
      </c>
      <c r="H276" s="162" t="s">
        <v>69</v>
      </c>
      <c r="I276" s="149" t="s">
        <v>268</v>
      </c>
      <c r="J276" s="73" t="str">
        <f t="shared" si="1"/>
        <v>06 - junio</v>
      </c>
      <c r="K276" s="73" t="str">
        <f t="shared" si="2"/>
        <v>2026</v>
      </c>
      <c r="L276" s="80"/>
    </row>
    <row r="277" ht="22.5" hidden="1" customHeight="1">
      <c r="A277" s="62" t="s">
        <v>127</v>
      </c>
      <c r="B277" s="63" t="s">
        <v>112</v>
      </c>
      <c r="C277" s="157">
        <v>30000.0</v>
      </c>
      <c r="D277" s="65">
        <v>46174.0</v>
      </c>
      <c r="E277" s="65">
        <v>46174.0</v>
      </c>
      <c r="F277" s="87"/>
      <c r="G277" s="158" t="s">
        <v>206</v>
      </c>
      <c r="H277" s="67" t="s">
        <v>69</v>
      </c>
      <c r="I277" s="149" t="s">
        <v>268</v>
      </c>
      <c r="J277" s="66" t="str">
        <f t="shared" si="1"/>
        <v>06 - junio</v>
      </c>
      <c r="K277" s="66" t="str">
        <f t="shared" si="2"/>
        <v>2026</v>
      </c>
      <c r="L277" s="69"/>
    </row>
    <row r="278" ht="22.5" hidden="1" customHeight="1">
      <c r="A278" s="70" t="s">
        <v>128</v>
      </c>
      <c r="B278" s="63" t="s">
        <v>112</v>
      </c>
      <c r="C278" s="159">
        <v>30000.0</v>
      </c>
      <c r="D278" s="160">
        <v>46174.0</v>
      </c>
      <c r="E278" s="160">
        <v>46174.0</v>
      </c>
      <c r="F278" s="84"/>
      <c r="G278" s="161" t="s">
        <v>206</v>
      </c>
      <c r="H278" s="162" t="s">
        <v>69</v>
      </c>
      <c r="I278" s="149" t="s">
        <v>268</v>
      </c>
      <c r="J278" s="73" t="str">
        <f t="shared" si="1"/>
        <v>06 - junio</v>
      </c>
      <c r="K278" s="73" t="str">
        <f t="shared" si="2"/>
        <v>2026</v>
      </c>
      <c r="L278" s="80"/>
    </row>
    <row r="279" ht="22.5" hidden="1" customHeight="1">
      <c r="A279" s="164" t="s">
        <v>130</v>
      </c>
      <c r="B279" s="63" t="s">
        <v>112</v>
      </c>
      <c r="C279" s="157">
        <v>30000.0</v>
      </c>
      <c r="D279" s="65">
        <v>46174.0</v>
      </c>
      <c r="E279" s="65">
        <v>46174.0</v>
      </c>
      <c r="F279" s="87"/>
      <c r="G279" s="158" t="s">
        <v>206</v>
      </c>
      <c r="H279" s="67" t="s">
        <v>69</v>
      </c>
      <c r="I279" s="149" t="s">
        <v>268</v>
      </c>
      <c r="J279" s="66" t="str">
        <f t="shared" si="1"/>
        <v>06 - junio</v>
      </c>
      <c r="K279" s="66" t="str">
        <f t="shared" si="2"/>
        <v>2026</v>
      </c>
      <c r="L279" s="69"/>
    </row>
    <row r="280" ht="22.5" hidden="1" customHeight="1">
      <c r="A280" s="70" t="s">
        <v>131</v>
      </c>
      <c r="B280" s="63" t="s">
        <v>112</v>
      </c>
      <c r="C280" s="159">
        <v>30000.0</v>
      </c>
      <c r="D280" s="160">
        <v>46174.0</v>
      </c>
      <c r="E280" s="160">
        <v>46174.0</v>
      </c>
      <c r="F280" s="84"/>
      <c r="G280" s="161" t="s">
        <v>206</v>
      </c>
      <c r="H280" s="162" t="s">
        <v>69</v>
      </c>
      <c r="I280" s="149" t="s">
        <v>268</v>
      </c>
      <c r="J280" s="73" t="str">
        <f t="shared" si="1"/>
        <v>06 - junio</v>
      </c>
      <c r="K280" s="73" t="str">
        <f t="shared" si="2"/>
        <v>2026</v>
      </c>
      <c r="L280" s="80"/>
    </row>
    <row r="281" ht="22.5" customHeight="1">
      <c r="A281" s="62" t="s">
        <v>132</v>
      </c>
      <c r="B281" s="63" t="s">
        <v>112</v>
      </c>
      <c r="C281" s="157">
        <v>30000.0</v>
      </c>
      <c r="D281" s="65">
        <v>46174.0</v>
      </c>
      <c r="E281" s="65">
        <v>46174.0</v>
      </c>
      <c r="F281" s="87"/>
      <c r="G281" s="158" t="s">
        <v>206</v>
      </c>
      <c r="H281" s="67" t="s">
        <v>69</v>
      </c>
      <c r="I281" s="149" t="s">
        <v>268</v>
      </c>
      <c r="J281" s="66" t="str">
        <f t="shared" si="1"/>
        <v>06 - junio</v>
      </c>
      <c r="K281" s="66" t="str">
        <f t="shared" si="2"/>
        <v>2026</v>
      </c>
      <c r="L281" s="69"/>
    </row>
    <row r="282" ht="22.5" hidden="1" customHeight="1">
      <c r="A282" s="70" t="s">
        <v>133</v>
      </c>
      <c r="B282" s="63" t="s">
        <v>112</v>
      </c>
      <c r="C282" s="159">
        <v>30000.0</v>
      </c>
      <c r="D282" s="160">
        <v>46174.0</v>
      </c>
      <c r="E282" s="160">
        <v>46174.0</v>
      </c>
      <c r="F282" s="84"/>
      <c r="G282" s="161" t="s">
        <v>206</v>
      </c>
      <c r="H282" s="162" t="s">
        <v>69</v>
      </c>
      <c r="I282" s="149" t="s">
        <v>268</v>
      </c>
      <c r="J282" s="73" t="str">
        <f t="shared" si="1"/>
        <v>06 - junio</v>
      </c>
      <c r="K282" s="73" t="str">
        <f t="shared" si="2"/>
        <v>2026</v>
      </c>
      <c r="L282" s="80"/>
    </row>
    <row r="283" ht="22.5" hidden="1" customHeight="1">
      <c r="A283" s="68" t="s">
        <v>113</v>
      </c>
      <c r="B283" s="63" t="s">
        <v>112</v>
      </c>
      <c r="C283" s="157">
        <v>30000.0</v>
      </c>
      <c r="D283" s="65">
        <v>46204.0</v>
      </c>
      <c r="E283" s="65">
        <v>46204.0</v>
      </c>
      <c r="F283" s="87"/>
      <c r="G283" s="158" t="s">
        <v>206</v>
      </c>
      <c r="H283" s="67" t="s">
        <v>69</v>
      </c>
      <c r="I283" s="149" t="s">
        <v>268</v>
      </c>
      <c r="J283" s="66" t="str">
        <f t="shared" si="1"/>
        <v>07 - julio</v>
      </c>
      <c r="K283" s="66" t="str">
        <f t="shared" si="2"/>
        <v>2026</v>
      </c>
      <c r="L283" s="69"/>
    </row>
    <row r="284" ht="22.5" hidden="1" customHeight="1">
      <c r="A284" s="77" t="s">
        <v>114</v>
      </c>
      <c r="B284" s="63" t="s">
        <v>112</v>
      </c>
      <c r="C284" s="159">
        <v>30000.0</v>
      </c>
      <c r="D284" s="160">
        <v>46204.0</v>
      </c>
      <c r="E284" s="160">
        <v>46204.0</v>
      </c>
      <c r="F284" s="84"/>
      <c r="G284" s="161" t="s">
        <v>206</v>
      </c>
      <c r="H284" s="162" t="s">
        <v>69</v>
      </c>
      <c r="I284" s="149" t="s">
        <v>268</v>
      </c>
      <c r="J284" s="150" t="str">
        <f t="shared" si="1"/>
        <v>07 - julio</v>
      </c>
      <c r="K284" s="150" t="str">
        <f t="shared" si="2"/>
        <v>2026</v>
      </c>
      <c r="L284" s="80"/>
    </row>
    <row r="285" ht="22.5" hidden="1" customHeight="1">
      <c r="A285" s="68" t="s">
        <v>116</v>
      </c>
      <c r="B285" s="63" t="s">
        <v>112</v>
      </c>
      <c r="C285" s="157">
        <v>30000.0</v>
      </c>
      <c r="D285" s="65">
        <v>46204.0</v>
      </c>
      <c r="E285" s="65">
        <v>46204.0</v>
      </c>
      <c r="F285" s="87"/>
      <c r="G285" s="158" t="s">
        <v>206</v>
      </c>
      <c r="H285" s="67" t="s">
        <v>69</v>
      </c>
      <c r="I285" s="149" t="s">
        <v>268</v>
      </c>
      <c r="J285" s="66" t="str">
        <f t="shared" si="1"/>
        <v>07 - julio</v>
      </c>
      <c r="K285" s="66" t="str">
        <f t="shared" si="2"/>
        <v>2026</v>
      </c>
      <c r="L285" s="69"/>
    </row>
    <row r="286" ht="22.5" hidden="1" customHeight="1">
      <c r="A286" s="77" t="s">
        <v>117</v>
      </c>
      <c r="B286" s="63" t="s">
        <v>112</v>
      </c>
      <c r="C286" s="159">
        <v>30000.0</v>
      </c>
      <c r="D286" s="160">
        <v>46204.0</v>
      </c>
      <c r="E286" s="160">
        <v>46204.0</v>
      </c>
      <c r="F286" s="84"/>
      <c r="G286" s="161" t="s">
        <v>206</v>
      </c>
      <c r="H286" s="162" t="s">
        <v>69</v>
      </c>
      <c r="I286" s="149" t="s">
        <v>268</v>
      </c>
      <c r="J286" s="150" t="str">
        <f t="shared" si="1"/>
        <v>07 - julio</v>
      </c>
      <c r="K286" s="150" t="str">
        <f t="shared" si="2"/>
        <v>2026</v>
      </c>
      <c r="L286" s="80"/>
    </row>
    <row r="287" ht="22.5" hidden="1" customHeight="1">
      <c r="A287" s="68" t="s">
        <v>118</v>
      </c>
      <c r="B287" s="63" t="s">
        <v>112</v>
      </c>
      <c r="C287" s="157">
        <v>30000.0</v>
      </c>
      <c r="D287" s="65">
        <v>46204.0</v>
      </c>
      <c r="E287" s="65">
        <v>46204.0</v>
      </c>
      <c r="F287" s="87"/>
      <c r="G287" s="158" t="s">
        <v>206</v>
      </c>
      <c r="H287" s="67" t="s">
        <v>69</v>
      </c>
      <c r="I287" s="149" t="s">
        <v>268</v>
      </c>
      <c r="J287" s="66" t="str">
        <f t="shared" si="1"/>
        <v>07 - julio</v>
      </c>
      <c r="K287" s="66" t="str">
        <f t="shared" si="2"/>
        <v>2026</v>
      </c>
      <c r="L287" s="69"/>
    </row>
    <row r="288" ht="22.5" hidden="1" customHeight="1">
      <c r="A288" s="77" t="s">
        <v>119</v>
      </c>
      <c r="B288" s="63" t="s">
        <v>112</v>
      </c>
      <c r="C288" s="159">
        <v>30000.0</v>
      </c>
      <c r="D288" s="160">
        <v>46204.0</v>
      </c>
      <c r="E288" s="160">
        <v>46204.0</v>
      </c>
      <c r="F288" s="84"/>
      <c r="G288" s="161" t="s">
        <v>206</v>
      </c>
      <c r="H288" s="162" t="s">
        <v>69</v>
      </c>
      <c r="I288" s="149" t="s">
        <v>268</v>
      </c>
      <c r="J288" s="150" t="str">
        <f t="shared" si="1"/>
        <v>07 - julio</v>
      </c>
      <c r="K288" s="150" t="str">
        <f t="shared" si="2"/>
        <v>2026</v>
      </c>
      <c r="L288" s="80"/>
    </row>
    <row r="289" ht="22.5" hidden="1" customHeight="1">
      <c r="A289" s="68" t="s">
        <v>120</v>
      </c>
      <c r="B289" s="63" t="s">
        <v>112</v>
      </c>
      <c r="C289" s="157">
        <v>30000.0</v>
      </c>
      <c r="D289" s="65">
        <v>46204.0</v>
      </c>
      <c r="E289" s="65">
        <v>46204.0</v>
      </c>
      <c r="F289" s="87"/>
      <c r="G289" s="158" t="s">
        <v>206</v>
      </c>
      <c r="H289" s="67" t="s">
        <v>69</v>
      </c>
      <c r="I289" s="149" t="s">
        <v>268</v>
      </c>
      <c r="J289" s="66" t="str">
        <f t="shared" si="1"/>
        <v>07 - julio</v>
      </c>
      <c r="K289" s="66" t="str">
        <f t="shared" si="2"/>
        <v>2026</v>
      </c>
      <c r="L289" s="69"/>
    </row>
    <row r="290" ht="22.5" hidden="1" customHeight="1">
      <c r="A290" s="77" t="s">
        <v>122</v>
      </c>
      <c r="B290" s="63" t="s">
        <v>112</v>
      </c>
      <c r="C290" s="159">
        <v>30000.0</v>
      </c>
      <c r="D290" s="160">
        <v>46204.0</v>
      </c>
      <c r="E290" s="160">
        <v>46204.0</v>
      </c>
      <c r="F290" s="84"/>
      <c r="G290" s="161" t="s">
        <v>206</v>
      </c>
      <c r="H290" s="162" t="s">
        <v>69</v>
      </c>
      <c r="I290" s="149" t="s">
        <v>268</v>
      </c>
      <c r="J290" s="150" t="str">
        <f t="shared" si="1"/>
        <v>07 - julio</v>
      </c>
      <c r="K290" s="150" t="str">
        <f t="shared" si="2"/>
        <v>2026</v>
      </c>
      <c r="L290" s="80"/>
    </row>
    <row r="291" ht="22.5" hidden="1" customHeight="1">
      <c r="A291" s="68" t="s">
        <v>124</v>
      </c>
      <c r="B291" s="63" t="s">
        <v>112</v>
      </c>
      <c r="C291" s="157">
        <v>30000.0</v>
      </c>
      <c r="D291" s="65">
        <v>46204.0</v>
      </c>
      <c r="E291" s="65">
        <v>46204.0</v>
      </c>
      <c r="F291" s="87"/>
      <c r="G291" s="158" t="s">
        <v>206</v>
      </c>
      <c r="H291" s="67" t="s">
        <v>69</v>
      </c>
      <c r="I291" s="149" t="s">
        <v>268</v>
      </c>
      <c r="J291" s="66" t="str">
        <f t="shared" si="1"/>
        <v>07 - julio</v>
      </c>
      <c r="K291" s="66" t="str">
        <f t="shared" si="2"/>
        <v>2026</v>
      </c>
      <c r="L291" s="69"/>
    </row>
    <row r="292" ht="22.5" hidden="1" customHeight="1">
      <c r="A292" s="70" t="s">
        <v>125</v>
      </c>
      <c r="B292" s="63" t="s">
        <v>112</v>
      </c>
      <c r="C292" s="159">
        <v>30000.0</v>
      </c>
      <c r="D292" s="160">
        <v>46204.0</v>
      </c>
      <c r="E292" s="160">
        <v>46204.0</v>
      </c>
      <c r="F292" s="84"/>
      <c r="G292" s="161" t="s">
        <v>206</v>
      </c>
      <c r="H292" s="162" t="s">
        <v>69</v>
      </c>
      <c r="I292" s="149" t="s">
        <v>268</v>
      </c>
      <c r="J292" s="73" t="str">
        <f t="shared" si="1"/>
        <v>07 - julio</v>
      </c>
      <c r="K292" s="73" t="str">
        <f t="shared" si="2"/>
        <v>2026</v>
      </c>
      <c r="L292" s="80"/>
    </row>
    <row r="293" ht="22.5" hidden="1" customHeight="1">
      <c r="A293" s="62" t="s">
        <v>127</v>
      </c>
      <c r="B293" s="63" t="s">
        <v>112</v>
      </c>
      <c r="C293" s="157">
        <v>30000.0</v>
      </c>
      <c r="D293" s="65">
        <v>46204.0</v>
      </c>
      <c r="E293" s="65">
        <v>46204.0</v>
      </c>
      <c r="F293" s="87"/>
      <c r="G293" s="158" t="s">
        <v>206</v>
      </c>
      <c r="H293" s="67" t="s">
        <v>69</v>
      </c>
      <c r="I293" s="149" t="s">
        <v>268</v>
      </c>
      <c r="J293" s="66" t="str">
        <f t="shared" si="1"/>
        <v>07 - julio</v>
      </c>
      <c r="K293" s="66" t="str">
        <f t="shared" si="2"/>
        <v>2026</v>
      </c>
      <c r="L293" s="69"/>
    </row>
    <row r="294" ht="22.5" hidden="1" customHeight="1">
      <c r="A294" s="70" t="s">
        <v>128</v>
      </c>
      <c r="B294" s="63" t="s">
        <v>112</v>
      </c>
      <c r="C294" s="159">
        <v>30000.0</v>
      </c>
      <c r="D294" s="160">
        <v>46204.0</v>
      </c>
      <c r="E294" s="160">
        <v>46204.0</v>
      </c>
      <c r="F294" s="84"/>
      <c r="G294" s="161" t="s">
        <v>206</v>
      </c>
      <c r="H294" s="162" t="s">
        <v>69</v>
      </c>
      <c r="I294" s="149" t="s">
        <v>268</v>
      </c>
      <c r="J294" s="73" t="str">
        <f t="shared" si="1"/>
        <v>07 - julio</v>
      </c>
      <c r="K294" s="73" t="str">
        <f t="shared" si="2"/>
        <v>2026</v>
      </c>
      <c r="L294" s="80"/>
    </row>
    <row r="295" ht="22.5" hidden="1" customHeight="1">
      <c r="A295" s="164" t="s">
        <v>130</v>
      </c>
      <c r="B295" s="63" t="s">
        <v>112</v>
      </c>
      <c r="C295" s="157">
        <v>30000.0</v>
      </c>
      <c r="D295" s="65">
        <v>46204.0</v>
      </c>
      <c r="E295" s="65">
        <v>46204.0</v>
      </c>
      <c r="F295" s="87"/>
      <c r="G295" s="158" t="s">
        <v>206</v>
      </c>
      <c r="H295" s="67" t="s">
        <v>69</v>
      </c>
      <c r="I295" s="149" t="s">
        <v>268</v>
      </c>
      <c r="J295" s="66" t="str">
        <f t="shared" si="1"/>
        <v>07 - julio</v>
      </c>
      <c r="K295" s="66" t="str">
        <f t="shared" si="2"/>
        <v>2026</v>
      </c>
      <c r="L295" s="69"/>
    </row>
    <row r="296" ht="22.5" hidden="1" customHeight="1">
      <c r="A296" s="70" t="s">
        <v>131</v>
      </c>
      <c r="B296" s="63" t="s">
        <v>112</v>
      </c>
      <c r="C296" s="159">
        <v>30000.0</v>
      </c>
      <c r="D296" s="160">
        <v>46204.0</v>
      </c>
      <c r="E296" s="160">
        <v>46204.0</v>
      </c>
      <c r="F296" s="84"/>
      <c r="G296" s="161" t="s">
        <v>206</v>
      </c>
      <c r="H296" s="162" t="s">
        <v>69</v>
      </c>
      <c r="I296" s="149" t="s">
        <v>268</v>
      </c>
      <c r="J296" s="73" t="str">
        <f t="shared" si="1"/>
        <v>07 - julio</v>
      </c>
      <c r="K296" s="73" t="str">
        <f t="shared" si="2"/>
        <v>2026</v>
      </c>
      <c r="L296" s="80"/>
    </row>
    <row r="297" ht="22.5" customHeight="1">
      <c r="A297" s="62" t="s">
        <v>132</v>
      </c>
      <c r="B297" s="63" t="s">
        <v>112</v>
      </c>
      <c r="C297" s="157">
        <v>30000.0</v>
      </c>
      <c r="D297" s="65">
        <v>46204.0</v>
      </c>
      <c r="E297" s="65">
        <v>46204.0</v>
      </c>
      <c r="F297" s="87"/>
      <c r="G297" s="158" t="s">
        <v>206</v>
      </c>
      <c r="H297" s="67" t="s">
        <v>69</v>
      </c>
      <c r="I297" s="149" t="s">
        <v>268</v>
      </c>
      <c r="J297" s="66" t="str">
        <f t="shared" si="1"/>
        <v>07 - julio</v>
      </c>
      <c r="K297" s="66" t="str">
        <f t="shared" si="2"/>
        <v>2026</v>
      </c>
      <c r="L297" s="69"/>
    </row>
    <row r="298" ht="22.5" hidden="1" customHeight="1">
      <c r="A298" s="70" t="s">
        <v>133</v>
      </c>
      <c r="B298" s="63" t="s">
        <v>112</v>
      </c>
      <c r="C298" s="159">
        <v>30000.0</v>
      </c>
      <c r="D298" s="160">
        <v>46204.0</v>
      </c>
      <c r="E298" s="160">
        <v>46204.0</v>
      </c>
      <c r="F298" s="84"/>
      <c r="G298" s="161" t="s">
        <v>206</v>
      </c>
      <c r="H298" s="162" t="s">
        <v>69</v>
      </c>
      <c r="I298" s="149" t="s">
        <v>268</v>
      </c>
      <c r="J298" s="73" t="str">
        <f t="shared" si="1"/>
        <v>07 - julio</v>
      </c>
      <c r="K298" s="73" t="str">
        <f t="shared" si="2"/>
        <v>2026</v>
      </c>
      <c r="L298" s="80"/>
    </row>
    <row r="299" ht="22.5" hidden="1" customHeight="1">
      <c r="A299" s="68" t="s">
        <v>113</v>
      </c>
      <c r="B299" s="63" t="s">
        <v>112</v>
      </c>
      <c r="C299" s="157">
        <v>35000.0</v>
      </c>
      <c r="D299" s="65">
        <v>46235.0</v>
      </c>
      <c r="E299" s="65">
        <v>46235.0</v>
      </c>
      <c r="F299" s="87"/>
      <c r="G299" s="158" t="s">
        <v>206</v>
      </c>
      <c r="H299" s="67" t="s">
        <v>69</v>
      </c>
      <c r="I299" s="149" t="s">
        <v>268</v>
      </c>
      <c r="J299" s="66" t="str">
        <f t="shared" si="1"/>
        <v>08 - agosto</v>
      </c>
      <c r="K299" s="66" t="str">
        <f t="shared" si="2"/>
        <v>2026</v>
      </c>
      <c r="L299" s="69"/>
    </row>
    <row r="300" ht="22.5" hidden="1" customHeight="1">
      <c r="A300" s="77" t="s">
        <v>114</v>
      </c>
      <c r="B300" s="63" t="s">
        <v>112</v>
      </c>
      <c r="C300" s="159">
        <v>35000.0</v>
      </c>
      <c r="D300" s="160">
        <v>46235.0</v>
      </c>
      <c r="E300" s="160">
        <v>46235.0</v>
      </c>
      <c r="F300" s="84"/>
      <c r="G300" s="161" t="s">
        <v>206</v>
      </c>
      <c r="H300" s="162" t="s">
        <v>69</v>
      </c>
      <c r="I300" s="149" t="s">
        <v>268</v>
      </c>
      <c r="J300" s="150" t="str">
        <f t="shared" si="1"/>
        <v>08 - agosto</v>
      </c>
      <c r="K300" s="150" t="str">
        <f t="shared" si="2"/>
        <v>2026</v>
      </c>
      <c r="L300" s="80"/>
    </row>
    <row r="301" ht="22.5" hidden="1" customHeight="1">
      <c r="A301" s="68" t="s">
        <v>116</v>
      </c>
      <c r="B301" s="63" t="s">
        <v>112</v>
      </c>
      <c r="C301" s="157">
        <v>35000.0</v>
      </c>
      <c r="D301" s="65">
        <v>46235.0</v>
      </c>
      <c r="E301" s="65">
        <v>46235.0</v>
      </c>
      <c r="F301" s="87"/>
      <c r="G301" s="158" t="s">
        <v>206</v>
      </c>
      <c r="H301" s="67" t="s">
        <v>69</v>
      </c>
      <c r="I301" s="149" t="s">
        <v>268</v>
      </c>
      <c r="J301" s="66" t="str">
        <f t="shared" si="1"/>
        <v>08 - agosto</v>
      </c>
      <c r="K301" s="66" t="str">
        <f t="shared" si="2"/>
        <v>2026</v>
      </c>
      <c r="L301" s="69"/>
    </row>
    <row r="302" ht="22.5" hidden="1" customHeight="1">
      <c r="A302" s="77" t="s">
        <v>117</v>
      </c>
      <c r="B302" s="63" t="s">
        <v>112</v>
      </c>
      <c r="C302" s="159">
        <v>35000.0</v>
      </c>
      <c r="D302" s="160">
        <v>46235.0</v>
      </c>
      <c r="E302" s="160">
        <v>46235.0</v>
      </c>
      <c r="F302" s="84"/>
      <c r="G302" s="161" t="s">
        <v>206</v>
      </c>
      <c r="H302" s="162" t="s">
        <v>69</v>
      </c>
      <c r="I302" s="149" t="s">
        <v>268</v>
      </c>
      <c r="J302" s="150" t="str">
        <f t="shared" si="1"/>
        <v>08 - agosto</v>
      </c>
      <c r="K302" s="150" t="str">
        <f t="shared" si="2"/>
        <v>2026</v>
      </c>
      <c r="L302" s="80"/>
    </row>
    <row r="303" ht="22.5" hidden="1" customHeight="1">
      <c r="A303" s="152" t="s">
        <v>119</v>
      </c>
      <c r="B303" s="63" t="s">
        <v>112</v>
      </c>
      <c r="C303" s="157">
        <v>35000.0</v>
      </c>
      <c r="D303" s="65">
        <v>46235.0</v>
      </c>
      <c r="E303" s="65">
        <v>46235.0</v>
      </c>
      <c r="F303" s="165"/>
      <c r="G303" s="158" t="s">
        <v>206</v>
      </c>
      <c r="H303" s="67" t="s">
        <v>69</v>
      </c>
      <c r="I303" s="149" t="s">
        <v>268</v>
      </c>
      <c r="J303" s="66" t="str">
        <f t="shared" si="1"/>
        <v>08 - agosto</v>
      </c>
      <c r="K303" s="66" t="str">
        <f t="shared" si="2"/>
        <v>2026</v>
      </c>
      <c r="L303" s="69"/>
    </row>
    <row r="304" ht="22.5" hidden="1" customHeight="1">
      <c r="A304" s="151" t="s">
        <v>120</v>
      </c>
      <c r="B304" s="63" t="s">
        <v>112</v>
      </c>
      <c r="C304" s="159">
        <v>35000.0</v>
      </c>
      <c r="D304" s="160">
        <v>46235.0</v>
      </c>
      <c r="E304" s="160">
        <v>46235.0</v>
      </c>
      <c r="F304" s="166"/>
      <c r="G304" s="161" t="s">
        <v>206</v>
      </c>
      <c r="H304" s="162" t="s">
        <v>69</v>
      </c>
      <c r="I304" s="149" t="s">
        <v>268</v>
      </c>
      <c r="J304" s="150" t="str">
        <f t="shared" si="1"/>
        <v>08 - agosto</v>
      </c>
      <c r="K304" s="150" t="str">
        <f t="shared" si="2"/>
        <v>2026</v>
      </c>
      <c r="L304" s="80"/>
    </row>
    <row r="305" ht="22.5" hidden="1" customHeight="1">
      <c r="A305" s="152" t="s">
        <v>122</v>
      </c>
      <c r="B305" s="63" t="s">
        <v>112</v>
      </c>
      <c r="C305" s="157">
        <v>35000.0</v>
      </c>
      <c r="D305" s="65">
        <v>46235.0</v>
      </c>
      <c r="E305" s="65">
        <v>46235.0</v>
      </c>
      <c r="F305" s="165"/>
      <c r="G305" s="158" t="s">
        <v>206</v>
      </c>
      <c r="H305" s="67" t="s">
        <v>69</v>
      </c>
      <c r="I305" s="149" t="s">
        <v>268</v>
      </c>
      <c r="J305" s="66" t="str">
        <f t="shared" si="1"/>
        <v>08 - agosto</v>
      </c>
      <c r="K305" s="66" t="str">
        <f t="shared" si="2"/>
        <v>2026</v>
      </c>
      <c r="L305" s="69"/>
    </row>
    <row r="306" ht="22.5" hidden="1" customHeight="1">
      <c r="A306" s="151" t="s">
        <v>124</v>
      </c>
      <c r="B306" s="63" t="s">
        <v>112</v>
      </c>
      <c r="C306" s="159">
        <v>35000.0</v>
      </c>
      <c r="D306" s="160">
        <v>46235.0</v>
      </c>
      <c r="E306" s="160">
        <v>46235.0</v>
      </c>
      <c r="F306" s="166"/>
      <c r="G306" s="161" t="s">
        <v>206</v>
      </c>
      <c r="H306" s="162" t="s">
        <v>69</v>
      </c>
      <c r="I306" s="149" t="s">
        <v>268</v>
      </c>
      <c r="J306" s="150" t="str">
        <f t="shared" si="1"/>
        <v>08 - agosto</v>
      </c>
      <c r="K306" s="150" t="str">
        <f t="shared" si="2"/>
        <v>2026</v>
      </c>
      <c r="L306" s="80"/>
    </row>
    <row r="307" ht="22.5" hidden="1" customHeight="1">
      <c r="A307" s="167" t="s">
        <v>125</v>
      </c>
      <c r="B307" s="63" t="s">
        <v>112</v>
      </c>
      <c r="C307" s="157">
        <v>35000.0</v>
      </c>
      <c r="D307" s="65">
        <v>46235.0</v>
      </c>
      <c r="E307" s="65">
        <v>46235.0</v>
      </c>
      <c r="F307" s="165"/>
      <c r="G307" s="158" t="s">
        <v>206</v>
      </c>
      <c r="H307" s="67" t="s">
        <v>69</v>
      </c>
      <c r="I307" s="149" t="s">
        <v>268</v>
      </c>
      <c r="J307" s="168" t="str">
        <f t="shared" si="1"/>
        <v>08 - agosto</v>
      </c>
      <c r="K307" s="168" t="str">
        <f t="shared" si="2"/>
        <v>2026</v>
      </c>
      <c r="L307" s="69"/>
    </row>
    <row r="308" ht="22.5" hidden="1" customHeight="1">
      <c r="A308" s="169" t="s">
        <v>127</v>
      </c>
      <c r="B308" s="63" t="s">
        <v>112</v>
      </c>
      <c r="C308" s="159">
        <v>35000.0</v>
      </c>
      <c r="D308" s="160">
        <v>46235.0</v>
      </c>
      <c r="E308" s="160">
        <v>46235.0</v>
      </c>
      <c r="F308" s="166"/>
      <c r="G308" s="161" t="s">
        <v>206</v>
      </c>
      <c r="H308" s="162" t="s">
        <v>69</v>
      </c>
      <c r="I308" s="149" t="s">
        <v>268</v>
      </c>
      <c r="J308" s="150" t="str">
        <f t="shared" si="1"/>
        <v>08 - agosto</v>
      </c>
      <c r="K308" s="150" t="str">
        <f t="shared" si="2"/>
        <v>2026</v>
      </c>
      <c r="L308" s="80"/>
    </row>
    <row r="309" ht="22.5" hidden="1" customHeight="1">
      <c r="A309" s="167" t="s">
        <v>128</v>
      </c>
      <c r="B309" s="63" t="s">
        <v>112</v>
      </c>
      <c r="C309" s="157">
        <v>35000.0</v>
      </c>
      <c r="D309" s="65">
        <v>46235.0</v>
      </c>
      <c r="E309" s="65">
        <v>46235.0</v>
      </c>
      <c r="F309" s="165"/>
      <c r="G309" s="158" t="s">
        <v>206</v>
      </c>
      <c r="H309" s="67" t="s">
        <v>69</v>
      </c>
      <c r="I309" s="149" t="s">
        <v>268</v>
      </c>
      <c r="J309" s="168" t="str">
        <f t="shared" si="1"/>
        <v>08 - agosto</v>
      </c>
      <c r="K309" s="168" t="str">
        <f t="shared" si="2"/>
        <v>2026</v>
      </c>
      <c r="L309" s="69"/>
    </row>
    <row r="310" ht="22.5" hidden="1" customHeight="1">
      <c r="A310" s="164" t="s">
        <v>130</v>
      </c>
      <c r="B310" s="63" t="s">
        <v>112</v>
      </c>
      <c r="C310" s="159">
        <v>35000.0</v>
      </c>
      <c r="D310" s="160">
        <v>46235.0</v>
      </c>
      <c r="E310" s="160">
        <v>46235.0</v>
      </c>
      <c r="F310" s="166"/>
      <c r="G310" s="161" t="s">
        <v>206</v>
      </c>
      <c r="H310" s="162" t="s">
        <v>69</v>
      </c>
      <c r="I310" s="149" t="s">
        <v>268</v>
      </c>
      <c r="J310" s="150" t="str">
        <f t="shared" si="1"/>
        <v>08 - agosto</v>
      </c>
      <c r="K310" s="150" t="str">
        <f t="shared" si="2"/>
        <v>2026</v>
      </c>
      <c r="L310" s="80"/>
    </row>
    <row r="311" ht="22.5" hidden="1" customHeight="1">
      <c r="A311" s="167" t="s">
        <v>131</v>
      </c>
      <c r="B311" s="63" t="s">
        <v>112</v>
      </c>
      <c r="C311" s="157">
        <v>35000.0</v>
      </c>
      <c r="D311" s="65">
        <v>46235.0</v>
      </c>
      <c r="E311" s="65">
        <v>46235.0</v>
      </c>
      <c r="F311" s="165"/>
      <c r="G311" s="158" t="s">
        <v>206</v>
      </c>
      <c r="H311" s="67" t="s">
        <v>69</v>
      </c>
      <c r="I311" s="149" t="s">
        <v>268</v>
      </c>
      <c r="J311" s="168" t="str">
        <f t="shared" si="1"/>
        <v>08 - agosto</v>
      </c>
      <c r="K311" s="168" t="str">
        <f t="shared" si="2"/>
        <v>2026</v>
      </c>
      <c r="L311" s="69"/>
    </row>
    <row r="312" ht="22.5" customHeight="1">
      <c r="A312" s="169" t="s">
        <v>132</v>
      </c>
      <c r="B312" s="63" t="s">
        <v>112</v>
      </c>
      <c r="C312" s="159">
        <v>35000.0</v>
      </c>
      <c r="D312" s="160">
        <v>46235.0</v>
      </c>
      <c r="E312" s="160">
        <v>46235.0</v>
      </c>
      <c r="F312" s="166"/>
      <c r="G312" s="161" t="s">
        <v>206</v>
      </c>
      <c r="H312" s="162" t="s">
        <v>69</v>
      </c>
      <c r="I312" s="149" t="s">
        <v>268</v>
      </c>
      <c r="J312" s="150" t="str">
        <f t="shared" si="1"/>
        <v>08 - agosto</v>
      </c>
      <c r="K312" s="150" t="str">
        <f t="shared" si="2"/>
        <v>2026</v>
      </c>
      <c r="L312" s="80"/>
    </row>
    <row r="313" ht="22.5" hidden="1" customHeight="1">
      <c r="A313" s="167" t="s">
        <v>133</v>
      </c>
      <c r="B313" s="63" t="s">
        <v>112</v>
      </c>
      <c r="C313" s="157">
        <v>35000.0</v>
      </c>
      <c r="D313" s="65">
        <v>46235.0</v>
      </c>
      <c r="E313" s="65">
        <v>46235.0</v>
      </c>
      <c r="F313" s="165"/>
      <c r="G313" s="158" t="s">
        <v>206</v>
      </c>
      <c r="H313" s="67" t="s">
        <v>69</v>
      </c>
      <c r="I313" s="149" t="s">
        <v>268</v>
      </c>
      <c r="J313" s="168" t="str">
        <f t="shared" si="1"/>
        <v>08 - agosto</v>
      </c>
      <c r="K313" s="168" t="str">
        <f t="shared" si="2"/>
        <v>2026</v>
      </c>
      <c r="L313" s="69"/>
    </row>
    <row r="314" ht="22.5" hidden="1" customHeight="1">
      <c r="A314" s="70" t="s">
        <v>121</v>
      </c>
      <c r="B314" s="63" t="s">
        <v>112</v>
      </c>
      <c r="C314" s="128">
        <v>0.0</v>
      </c>
      <c r="D314" s="160">
        <v>46235.0</v>
      </c>
      <c r="E314" s="83"/>
      <c r="F314" s="84"/>
      <c r="G314" s="91"/>
      <c r="H314" s="85" t="s">
        <v>68</v>
      </c>
      <c r="I314" s="149" t="s">
        <v>268</v>
      </c>
      <c r="J314" s="73" t="str">
        <f t="shared" si="1"/>
        <v>08 - agosto</v>
      </c>
      <c r="K314" s="73" t="str">
        <f t="shared" si="2"/>
        <v>2026</v>
      </c>
      <c r="L314" s="80"/>
    </row>
    <row r="315" ht="22.5" hidden="1" customHeight="1">
      <c r="A315" s="68" t="s">
        <v>118</v>
      </c>
      <c r="B315" s="63" t="s">
        <v>112</v>
      </c>
      <c r="C315" s="93"/>
      <c r="D315" s="65">
        <v>46235.0</v>
      </c>
      <c r="E315" s="86"/>
      <c r="F315" s="87"/>
      <c r="G315" s="95"/>
      <c r="H315" s="115" t="s">
        <v>70</v>
      </c>
      <c r="I315" s="149" t="s">
        <v>268</v>
      </c>
      <c r="J315" s="66" t="str">
        <f t="shared" si="1"/>
        <v>08 - agosto</v>
      </c>
      <c r="K315" s="66" t="str">
        <f t="shared" si="2"/>
        <v>2026</v>
      </c>
      <c r="L315" s="69"/>
    </row>
    <row r="316" ht="22.5" hidden="1" customHeight="1">
      <c r="A316" s="151" t="s">
        <v>113</v>
      </c>
      <c r="B316" s="63" t="s">
        <v>112</v>
      </c>
      <c r="C316" s="159">
        <v>35000.0</v>
      </c>
      <c r="D316" s="160">
        <v>46266.0</v>
      </c>
      <c r="E316" s="160">
        <v>46266.0</v>
      </c>
      <c r="F316" s="166"/>
      <c r="G316" s="161" t="s">
        <v>206</v>
      </c>
      <c r="H316" s="162" t="s">
        <v>69</v>
      </c>
      <c r="I316" s="170" t="s">
        <v>270</v>
      </c>
      <c r="J316" s="150" t="str">
        <f t="shared" si="1"/>
        <v>09 - septiembre</v>
      </c>
      <c r="K316" s="150" t="str">
        <f t="shared" si="2"/>
        <v>2026</v>
      </c>
      <c r="L316" s="80"/>
    </row>
    <row r="317" ht="22.5" hidden="1" customHeight="1">
      <c r="A317" s="152" t="s">
        <v>114</v>
      </c>
      <c r="B317" s="63" t="s">
        <v>112</v>
      </c>
      <c r="C317" s="157">
        <v>35000.0</v>
      </c>
      <c r="D317" s="65">
        <v>46266.0</v>
      </c>
      <c r="E317" s="65">
        <v>46266.0</v>
      </c>
      <c r="F317" s="165"/>
      <c r="G317" s="158" t="s">
        <v>206</v>
      </c>
      <c r="H317" s="67" t="s">
        <v>69</v>
      </c>
      <c r="I317" s="170" t="s">
        <v>270</v>
      </c>
      <c r="J317" s="66" t="str">
        <f t="shared" si="1"/>
        <v>09 - septiembre</v>
      </c>
      <c r="K317" s="66" t="str">
        <f t="shared" si="2"/>
        <v>2026</v>
      </c>
      <c r="L317" s="69"/>
    </row>
    <row r="318" ht="22.5" hidden="1" customHeight="1">
      <c r="A318" s="151" t="s">
        <v>116</v>
      </c>
      <c r="B318" s="63" t="s">
        <v>112</v>
      </c>
      <c r="C318" s="159">
        <v>35000.0</v>
      </c>
      <c r="D318" s="160">
        <v>46266.0</v>
      </c>
      <c r="E318" s="160">
        <v>46266.0</v>
      </c>
      <c r="F318" s="166"/>
      <c r="G318" s="161" t="s">
        <v>206</v>
      </c>
      <c r="H318" s="162" t="s">
        <v>69</v>
      </c>
      <c r="I318" s="170" t="s">
        <v>270</v>
      </c>
      <c r="J318" s="150" t="str">
        <f t="shared" si="1"/>
        <v>09 - septiembre</v>
      </c>
      <c r="K318" s="150" t="str">
        <f t="shared" si="2"/>
        <v>2026</v>
      </c>
      <c r="L318" s="80"/>
    </row>
    <row r="319" ht="22.5" hidden="1" customHeight="1">
      <c r="A319" s="152" t="s">
        <v>117</v>
      </c>
      <c r="B319" s="63" t="s">
        <v>112</v>
      </c>
      <c r="C319" s="157">
        <v>35000.0</v>
      </c>
      <c r="D319" s="65">
        <v>46266.0</v>
      </c>
      <c r="E319" s="65">
        <v>46266.0</v>
      </c>
      <c r="F319" s="165"/>
      <c r="G319" s="158" t="s">
        <v>206</v>
      </c>
      <c r="H319" s="67" t="s">
        <v>69</v>
      </c>
      <c r="I319" s="170" t="s">
        <v>270</v>
      </c>
      <c r="J319" s="66" t="str">
        <f t="shared" si="1"/>
        <v>09 - septiembre</v>
      </c>
      <c r="K319" s="66" t="str">
        <f t="shared" si="2"/>
        <v>2026</v>
      </c>
      <c r="L319" s="69"/>
    </row>
    <row r="320" ht="22.5" hidden="1" customHeight="1">
      <c r="A320" s="77" t="s">
        <v>119</v>
      </c>
      <c r="B320" s="63" t="s">
        <v>112</v>
      </c>
      <c r="C320" s="159">
        <v>35000.0</v>
      </c>
      <c r="D320" s="160">
        <v>46266.0</v>
      </c>
      <c r="E320" s="160">
        <v>46287.0</v>
      </c>
      <c r="F320" s="84"/>
      <c r="G320" s="161" t="s">
        <v>206</v>
      </c>
      <c r="H320" s="162" t="s">
        <v>69</v>
      </c>
      <c r="I320" s="170" t="s">
        <v>270</v>
      </c>
      <c r="J320" s="150" t="str">
        <f t="shared" si="1"/>
        <v>09 - septiembre</v>
      </c>
      <c r="K320" s="150" t="str">
        <f t="shared" si="2"/>
        <v>2026</v>
      </c>
      <c r="L320" s="80"/>
    </row>
    <row r="321" ht="22.5" hidden="1" customHeight="1">
      <c r="A321" s="68" t="s">
        <v>120</v>
      </c>
      <c r="B321" s="63" t="s">
        <v>112</v>
      </c>
      <c r="C321" s="157">
        <v>35000.0</v>
      </c>
      <c r="D321" s="65">
        <v>46266.0</v>
      </c>
      <c r="E321" s="65">
        <v>46266.0</v>
      </c>
      <c r="F321" s="87"/>
      <c r="G321" s="158" t="s">
        <v>206</v>
      </c>
      <c r="H321" s="67" t="s">
        <v>69</v>
      </c>
      <c r="I321" s="170" t="s">
        <v>270</v>
      </c>
      <c r="J321" s="66" t="str">
        <f t="shared" si="1"/>
        <v>09 - septiembre</v>
      </c>
      <c r="K321" s="66" t="str">
        <f t="shared" si="2"/>
        <v>2026</v>
      </c>
      <c r="L321" s="69"/>
    </row>
    <row r="322" ht="22.5" hidden="1" customHeight="1">
      <c r="A322" s="77" t="s">
        <v>122</v>
      </c>
      <c r="B322" s="63" t="s">
        <v>112</v>
      </c>
      <c r="C322" s="159">
        <v>35000.0</v>
      </c>
      <c r="D322" s="160">
        <v>46266.0</v>
      </c>
      <c r="E322" s="160">
        <v>46266.0</v>
      </c>
      <c r="F322" s="84"/>
      <c r="G322" s="161" t="s">
        <v>206</v>
      </c>
      <c r="H322" s="162" t="s">
        <v>69</v>
      </c>
      <c r="I322" s="170" t="s">
        <v>270</v>
      </c>
      <c r="J322" s="150" t="str">
        <f t="shared" si="1"/>
        <v>09 - septiembre</v>
      </c>
      <c r="K322" s="150" t="str">
        <f t="shared" si="2"/>
        <v>2026</v>
      </c>
      <c r="L322" s="80"/>
    </row>
    <row r="323" ht="22.5" hidden="1" customHeight="1">
      <c r="A323" s="68" t="s">
        <v>118</v>
      </c>
      <c r="B323" s="63" t="s">
        <v>112</v>
      </c>
      <c r="C323" s="93"/>
      <c r="D323" s="65">
        <v>46266.0</v>
      </c>
      <c r="E323" s="86"/>
      <c r="F323" s="87"/>
      <c r="G323" s="95"/>
      <c r="H323" s="115" t="s">
        <v>70</v>
      </c>
      <c r="I323" s="170" t="s">
        <v>270</v>
      </c>
      <c r="J323" s="66" t="str">
        <f t="shared" si="1"/>
        <v>09 - septiembre</v>
      </c>
      <c r="K323" s="66" t="str">
        <f t="shared" si="2"/>
        <v>2026</v>
      </c>
      <c r="L323" s="69"/>
    </row>
    <row r="324" ht="22.5" hidden="1" customHeight="1">
      <c r="A324" s="70" t="s">
        <v>125</v>
      </c>
      <c r="B324" s="63" t="s">
        <v>112</v>
      </c>
      <c r="C324" s="159">
        <v>35000.0</v>
      </c>
      <c r="D324" s="160">
        <v>46266.0</v>
      </c>
      <c r="E324" s="160">
        <v>46266.0</v>
      </c>
      <c r="F324" s="84"/>
      <c r="G324" s="161" t="s">
        <v>206</v>
      </c>
      <c r="H324" s="162" t="s">
        <v>69</v>
      </c>
      <c r="I324" s="170" t="s">
        <v>270</v>
      </c>
      <c r="J324" s="73" t="str">
        <f t="shared" si="1"/>
        <v>09 - septiembre</v>
      </c>
      <c r="K324" s="73" t="str">
        <f t="shared" si="2"/>
        <v>2026</v>
      </c>
      <c r="L324" s="80"/>
    </row>
    <row r="325" ht="22.5" hidden="1" customHeight="1">
      <c r="A325" s="62" t="s">
        <v>127</v>
      </c>
      <c r="B325" s="63" t="s">
        <v>112</v>
      </c>
      <c r="C325" s="157">
        <v>35000.0</v>
      </c>
      <c r="D325" s="65">
        <v>46266.0</v>
      </c>
      <c r="E325" s="65">
        <v>46266.0</v>
      </c>
      <c r="F325" s="87"/>
      <c r="G325" s="158" t="s">
        <v>206</v>
      </c>
      <c r="H325" s="67" t="s">
        <v>69</v>
      </c>
      <c r="I325" s="170" t="s">
        <v>270</v>
      </c>
      <c r="J325" s="66" t="str">
        <f t="shared" si="1"/>
        <v>09 - septiembre</v>
      </c>
      <c r="K325" s="66" t="str">
        <f t="shared" si="2"/>
        <v>2026</v>
      </c>
      <c r="L325" s="69"/>
    </row>
    <row r="326" ht="22.5" hidden="1" customHeight="1">
      <c r="A326" s="70" t="s">
        <v>128</v>
      </c>
      <c r="B326" s="63" t="s">
        <v>112</v>
      </c>
      <c r="C326" s="159">
        <v>35000.0</v>
      </c>
      <c r="D326" s="160">
        <v>46266.0</v>
      </c>
      <c r="E326" s="160">
        <v>46266.0</v>
      </c>
      <c r="F326" s="84"/>
      <c r="G326" s="161" t="s">
        <v>206</v>
      </c>
      <c r="H326" s="162" t="s">
        <v>69</v>
      </c>
      <c r="I326" s="170" t="s">
        <v>270</v>
      </c>
      <c r="J326" s="73" t="str">
        <f t="shared" si="1"/>
        <v>09 - septiembre</v>
      </c>
      <c r="K326" s="73" t="str">
        <f t="shared" si="2"/>
        <v>2026</v>
      </c>
      <c r="L326" s="80"/>
    </row>
    <row r="327" ht="22.5" hidden="1" customHeight="1">
      <c r="A327" s="164" t="s">
        <v>130</v>
      </c>
      <c r="B327" s="63" t="s">
        <v>112</v>
      </c>
      <c r="C327" s="157">
        <v>35000.0</v>
      </c>
      <c r="D327" s="65">
        <v>46266.0</v>
      </c>
      <c r="E327" s="65">
        <v>46266.0</v>
      </c>
      <c r="F327" s="87"/>
      <c r="G327" s="158" t="s">
        <v>206</v>
      </c>
      <c r="H327" s="67" t="s">
        <v>69</v>
      </c>
      <c r="I327" s="170" t="s">
        <v>270</v>
      </c>
      <c r="J327" s="66" t="str">
        <f t="shared" si="1"/>
        <v>09 - septiembre</v>
      </c>
      <c r="K327" s="66" t="str">
        <f t="shared" si="2"/>
        <v>2026</v>
      </c>
      <c r="L327" s="69"/>
    </row>
    <row r="328" ht="22.5" hidden="1" customHeight="1">
      <c r="A328" s="70" t="s">
        <v>131</v>
      </c>
      <c r="B328" s="63" t="s">
        <v>112</v>
      </c>
      <c r="C328" s="159">
        <v>35000.0</v>
      </c>
      <c r="D328" s="160">
        <v>46266.0</v>
      </c>
      <c r="E328" s="160">
        <v>46266.0</v>
      </c>
      <c r="F328" s="84"/>
      <c r="G328" s="161" t="s">
        <v>206</v>
      </c>
      <c r="H328" s="162" t="s">
        <v>69</v>
      </c>
      <c r="I328" s="170" t="s">
        <v>270</v>
      </c>
      <c r="J328" s="73" t="str">
        <f t="shared" si="1"/>
        <v>09 - septiembre</v>
      </c>
      <c r="K328" s="73" t="str">
        <f t="shared" si="2"/>
        <v>2026</v>
      </c>
      <c r="L328" s="80"/>
    </row>
    <row r="329" ht="22.5" customHeight="1">
      <c r="A329" s="62" t="s">
        <v>132</v>
      </c>
      <c r="B329" s="63" t="s">
        <v>112</v>
      </c>
      <c r="C329" s="157">
        <v>35000.0</v>
      </c>
      <c r="D329" s="65">
        <v>46266.0</v>
      </c>
      <c r="E329" s="65">
        <v>46266.0</v>
      </c>
      <c r="F329" s="87"/>
      <c r="G329" s="158" t="s">
        <v>206</v>
      </c>
      <c r="H329" s="67" t="s">
        <v>69</v>
      </c>
      <c r="I329" s="170" t="s">
        <v>270</v>
      </c>
      <c r="J329" s="66" t="str">
        <f t="shared" si="1"/>
        <v>09 - septiembre</v>
      </c>
      <c r="K329" s="66" t="str">
        <f t="shared" si="2"/>
        <v>2026</v>
      </c>
      <c r="L329" s="69"/>
    </row>
    <row r="330" ht="22.5" hidden="1" customHeight="1">
      <c r="A330" s="70" t="s">
        <v>133</v>
      </c>
      <c r="B330" s="63" t="s">
        <v>112</v>
      </c>
      <c r="C330" s="159">
        <v>35000.0</v>
      </c>
      <c r="D330" s="160">
        <v>46266.0</v>
      </c>
      <c r="E330" s="160">
        <v>46266.0</v>
      </c>
      <c r="F330" s="84"/>
      <c r="G330" s="161" t="s">
        <v>206</v>
      </c>
      <c r="H330" s="162" t="s">
        <v>69</v>
      </c>
      <c r="I330" s="170" t="s">
        <v>270</v>
      </c>
      <c r="J330" s="73" t="str">
        <f t="shared" si="1"/>
        <v>09 - septiembre</v>
      </c>
      <c r="K330" s="73" t="str">
        <f t="shared" si="2"/>
        <v>2026</v>
      </c>
      <c r="L330" s="80"/>
    </row>
    <row r="331" ht="22.5" hidden="1" customHeight="1">
      <c r="A331" s="62" t="s">
        <v>121</v>
      </c>
      <c r="B331" s="63" t="s">
        <v>112</v>
      </c>
      <c r="C331" s="93"/>
      <c r="D331" s="65">
        <v>46266.0</v>
      </c>
      <c r="E331" s="86"/>
      <c r="F331" s="87"/>
      <c r="G331" s="95"/>
      <c r="H331" s="115" t="s">
        <v>70</v>
      </c>
      <c r="I331" s="170" t="s">
        <v>270</v>
      </c>
      <c r="J331" s="66" t="str">
        <f t="shared" si="1"/>
        <v>09 - septiembre</v>
      </c>
      <c r="K331" s="66" t="str">
        <f t="shared" si="2"/>
        <v>2026</v>
      </c>
      <c r="L331" s="69"/>
    </row>
    <row r="332" ht="22.5" hidden="1" customHeight="1">
      <c r="A332" s="151" t="s">
        <v>113</v>
      </c>
      <c r="B332" s="63" t="s">
        <v>112</v>
      </c>
      <c r="C332" s="171">
        <v>35000.0</v>
      </c>
      <c r="D332" s="160">
        <v>46296.0</v>
      </c>
      <c r="E332" s="172">
        <v>46303.0</v>
      </c>
      <c r="F332" s="173" t="s">
        <v>26</v>
      </c>
      <c r="G332" s="136" t="s">
        <v>336</v>
      </c>
      <c r="H332" s="137" t="s">
        <v>69</v>
      </c>
      <c r="I332" s="170" t="s">
        <v>270</v>
      </c>
      <c r="J332" s="150" t="str">
        <f t="shared" si="1"/>
        <v>10 - octubre</v>
      </c>
      <c r="K332" s="150" t="str">
        <f t="shared" si="2"/>
        <v>2026</v>
      </c>
      <c r="L332" s="80"/>
    </row>
    <row r="333" ht="22.5" hidden="1" customHeight="1">
      <c r="A333" s="152" t="s">
        <v>114</v>
      </c>
      <c r="B333" s="63" t="s">
        <v>112</v>
      </c>
      <c r="C333" s="157">
        <v>35000.0</v>
      </c>
      <c r="D333" s="65">
        <v>46296.0</v>
      </c>
      <c r="E333" s="65">
        <v>46298.0</v>
      </c>
      <c r="F333" s="165"/>
      <c r="G333" s="174" t="s">
        <v>335</v>
      </c>
      <c r="H333" s="67" t="s">
        <v>69</v>
      </c>
      <c r="I333" s="170" t="s">
        <v>270</v>
      </c>
      <c r="J333" s="66" t="str">
        <f t="shared" si="1"/>
        <v>10 - octubre</v>
      </c>
      <c r="K333" s="66" t="str">
        <f t="shared" si="2"/>
        <v>2026</v>
      </c>
      <c r="L333" s="69"/>
    </row>
    <row r="334" ht="22.5" hidden="1" customHeight="1">
      <c r="A334" s="151" t="s">
        <v>116</v>
      </c>
      <c r="B334" s="63" t="s">
        <v>112</v>
      </c>
      <c r="C334" s="175"/>
      <c r="D334" s="160">
        <v>46296.0</v>
      </c>
      <c r="E334" s="176"/>
      <c r="F334" s="166"/>
      <c r="G334" s="91"/>
      <c r="H334" s="133" t="s">
        <v>70</v>
      </c>
      <c r="I334" s="170" t="s">
        <v>270</v>
      </c>
      <c r="J334" s="150" t="str">
        <f t="shared" si="1"/>
        <v>10 - octubre</v>
      </c>
      <c r="K334" s="150" t="str">
        <f t="shared" si="2"/>
        <v>2026</v>
      </c>
      <c r="L334" s="80"/>
    </row>
    <row r="335" ht="22.5" hidden="1" customHeight="1">
      <c r="A335" s="152" t="s">
        <v>117</v>
      </c>
      <c r="B335" s="63" t="s">
        <v>112</v>
      </c>
      <c r="C335" s="157">
        <v>35000.0</v>
      </c>
      <c r="D335" s="65">
        <v>46296.0</v>
      </c>
      <c r="E335" s="129">
        <v>46302.0</v>
      </c>
      <c r="F335" s="177" t="s">
        <v>26</v>
      </c>
      <c r="G335" s="130" t="s">
        <v>199</v>
      </c>
      <c r="H335" s="131" t="s">
        <v>69</v>
      </c>
      <c r="I335" s="170" t="s">
        <v>270</v>
      </c>
      <c r="J335" s="66" t="str">
        <f t="shared" si="1"/>
        <v>10 - octubre</v>
      </c>
      <c r="K335" s="66" t="str">
        <f t="shared" si="2"/>
        <v>2026</v>
      </c>
      <c r="L335" s="69"/>
    </row>
    <row r="336" ht="22.5" hidden="1" customHeight="1">
      <c r="A336" s="77" t="s">
        <v>119</v>
      </c>
      <c r="B336" s="63" t="s">
        <v>112</v>
      </c>
      <c r="C336" s="159">
        <v>35000.0</v>
      </c>
      <c r="D336" s="160">
        <v>46296.0</v>
      </c>
      <c r="E336" s="172">
        <v>46302.0</v>
      </c>
      <c r="F336" s="135" t="s">
        <v>26</v>
      </c>
      <c r="G336" s="136" t="s">
        <v>335</v>
      </c>
      <c r="H336" s="137" t="s">
        <v>69</v>
      </c>
      <c r="I336" s="170" t="s">
        <v>270</v>
      </c>
      <c r="J336" s="150" t="str">
        <f t="shared" si="1"/>
        <v>10 - octubre</v>
      </c>
      <c r="K336" s="150" t="str">
        <f t="shared" si="2"/>
        <v>2026</v>
      </c>
      <c r="L336" s="80"/>
    </row>
    <row r="337" ht="22.5" hidden="1" customHeight="1">
      <c r="A337" s="68" t="s">
        <v>120</v>
      </c>
      <c r="B337" s="63" t="s">
        <v>112</v>
      </c>
      <c r="C337" s="93"/>
      <c r="D337" s="65">
        <v>46296.0</v>
      </c>
      <c r="E337" s="86"/>
      <c r="F337" s="87"/>
      <c r="G337" s="95"/>
      <c r="H337" s="115" t="s">
        <v>70</v>
      </c>
      <c r="I337" s="170" t="s">
        <v>270</v>
      </c>
      <c r="J337" s="66" t="str">
        <f t="shared" si="1"/>
        <v>10 - octubre</v>
      </c>
      <c r="K337" s="66" t="str">
        <f t="shared" si="2"/>
        <v>2026</v>
      </c>
      <c r="L337" s="69"/>
    </row>
    <row r="338" ht="22.5" hidden="1" customHeight="1">
      <c r="A338" s="77" t="s">
        <v>122</v>
      </c>
      <c r="B338" s="63" t="s">
        <v>112</v>
      </c>
      <c r="C338" s="171">
        <v>35000.0</v>
      </c>
      <c r="D338" s="160">
        <v>46296.0</v>
      </c>
      <c r="E338" s="172">
        <v>46300.0</v>
      </c>
      <c r="F338" s="135" t="s">
        <v>26</v>
      </c>
      <c r="G338" s="136" t="s">
        <v>335</v>
      </c>
      <c r="H338" s="137" t="s">
        <v>69</v>
      </c>
      <c r="I338" s="170" t="s">
        <v>270</v>
      </c>
      <c r="J338" s="150" t="str">
        <f t="shared" si="1"/>
        <v>10 - octubre</v>
      </c>
      <c r="K338" s="150" t="str">
        <f t="shared" si="2"/>
        <v>2026</v>
      </c>
      <c r="L338" s="80"/>
    </row>
    <row r="339" ht="22.5" hidden="1" customHeight="1">
      <c r="A339" s="68" t="s">
        <v>118</v>
      </c>
      <c r="B339" s="63" t="s">
        <v>112</v>
      </c>
      <c r="C339" s="93"/>
      <c r="D339" s="65">
        <v>46296.0</v>
      </c>
      <c r="E339" s="86"/>
      <c r="F339" s="87"/>
      <c r="G339" s="95"/>
      <c r="H339" s="115" t="s">
        <v>70</v>
      </c>
      <c r="I339" s="170" t="s">
        <v>270</v>
      </c>
      <c r="J339" s="66" t="str">
        <f t="shared" si="1"/>
        <v>10 - octubre</v>
      </c>
      <c r="K339" s="66" t="str">
        <f t="shared" si="2"/>
        <v>2026</v>
      </c>
      <c r="L339" s="69"/>
    </row>
    <row r="340" ht="22.5" hidden="1" customHeight="1">
      <c r="A340" s="70" t="s">
        <v>125</v>
      </c>
      <c r="B340" s="63" t="s">
        <v>112</v>
      </c>
      <c r="C340" s="171">
        <v>35000.0</v>
      </c>
      <c r="D340" s="160">
        <v>46296.0</v>
      </c>
      <c r="E340" s="172">
        <v>46300.0</v>
      </c>
      <c r="F340" s="135" t="s">
        <v>26</v>
      </c>
      <c r="G340" s="136" t="s">
        <v>337</v>
      </c>
      <c r="H340" s="137" t="s">
        <v>69</v>
      </c>
      <c r="I340" s="170" t="s">
        <v>270</v>
      </c>
      <c r="J340" s="73" t="str">
        <f t="shared" si="1"/>
        <v>10 - octubre</v>
      </c>
      <c r="K340" s="73" t="str">
        <f t="shared" si="2"/>
        <v>2026</v>
      </c>
      <c r="L340" s="80"/>
    </row>
    <row r="341" ht="22.5" hidden="1" customHeight="1">
      <c r="A341" s="62" t="s">
        <v>127</v>
      </c>
      <c r="B341" s="63" t="s">
        <v>112</v>
      </c>
      <c r="C341" s="157">
        <v>35000.0</v>
      </c>
      <c r="D341" s="65">
        <v>46296.0</v>
      </c>
      <c r="E341" s="65">
        <v>46300.0</v>
      </c>
      <c r="F341" s="178" t="s">
        <v>26</v>
      </c>
      <c r="G341" s="179" t="s">
        <v>199</v>
      </c>
      <c r="H341" s="67" t="s">
        <v>69</v>
      </c>
      <c r="I341" s="170" t="s">
        <v>270</v>
      </c>
      <c r="J341" s="66" t="str">
        <f t="shared" si="1"/>
        <v>10 - octubre</v>
      </c>
      <c r="K341" s="66" t="str">
        <f t="shared" si="2"/>
        <v>2026</v>
      </c>
      <c r="L341" s="69"/>
    </row>
    <row r="342" ht="22.5" hidden="1" customHeight="1">
      <c r="A342" s="70" t="s">
        <v>128</v>
      </c>
      <c r="B342" s="63" t="s">
        <v>112</v>
      </c>
      <c r="C342" s="175"/>
      <c r="D342" s="160">
        <v>46296.0</v>
      </c>
      <c r="E342" s="176"/>
      <c r="F342" s="84"/>
      <c r="G342" s="91"/>
      <c r="H342" s="133" t="s">
        <v>70</v>
      </c>
      <c r="I342" s="170" t="s">
        <v>270</v>
      </c>
      <c r="J342" s="73" t="str">
        <f t="shared" si="1"/>
        <v>10 - octubre</v>
      </c>
      <c r="K342" s="73" t="str">
        <f t="shared" si="2"/>
        <v>2026</v>
      </c>
      <c r="L342" s="80"/>
    </row>
    <row r="343" ht="22.5" hidden="1" customHeight="1">
      <c r="A343" s="164" t="s">
        <v>130</v>
      </c>
      <c r="B343" s="63" t="s">
        <v>112</v>
      </c>
      <c r="C343" s="180">
        <v>35000.0</v>
      </c>
      <c r="D343" s="65">
        <v>46296.0</v>
      </c>
      <c r="E343" s="129">
        <v>46305.0</v>
      </c>
      <c r="F343" s="181" t="s">
        <v>26</v>
      </c>
      <c r="G343" s="130" t="s">
        <v>199</v>
      </c>
      <c r="H343" s="131" t="s">
        <v>69</v>
      </c>
      <c r="I343" s="170" t="s">
        <v>270</v>
      </c>
      <c r="J343" s="66" t="str">
        <f t="shared" si="1"/>
        <v>10 - octubre</v>
      </c>
      <c r="K343" s="66" t="str">
        <f t="shared" si="2"/>
        <v>2026</v>
      </c>
      <c r="L343" s="69"/>
    </row>
    <row r="344" ht="22.5" hidden="1" customHeight="1">
      <c r="A344" s="70" t="s">
        <v>131</v>
      </c>
      <c r="B344" s="63" t="s">
        <v>112</v>
      </c>
      <c r="C344" s="175"/>
      <c r="D344" s="160">
        <v>46296.0</v>
      </c>
      <c r="E344" s="176"/>
      <c r="F344" s="84"/>
      <c r="G344" s="91"/>
      <c r="H344" s="133" t="s">
        <v>70</v>
      </c>
      <c r="I344" s="170" t="s">
        <v>270</v>
      </c>
      <c r="J344" s="73" t="str">
        <f t="shared" si="1"/>
        <v>10 - octubre</v>
      </c>
      <c r="K344" s="73" t="str">
        <f t="shared" si="2"/>
        <v>2026</v>
      </c>
      <c r="L344" s="80"/>
    </row>
    <row r="345" ht="22.5" customHeight="1">
      <c r="A345" s="62" t="s">
        <v>132</v>
      </c>
      <c r="B345" s="63" t="s">
        <v>112</v>
      </c>
      <c r="C345" s="157">
        <v>35000.0</v>
      </c>
      <c r="D345" s="65">
        <v>46296.0</v>
      </c>
      <c r="E345" s="129">
        <v>46303.0</v>
      </c>
      <c r="F345" s="181" t="s">
        <v>26</v>
      </c>
      <c r="G345" s="130" t="s">
        <v>222</v>
      </c>
      <c r="H345" s="131" t="s">
        <v>69</v>
      </c>
      <c r="I345" s="170" t="s">
        <v>270</v>
      </c>
      <c r="J345" s="66" t="str">
        <f t="shared" si="1"/>
        <v>10 - octubre</v>
      </c>
      <c r="K345" s="66" t="str">
        <f t="shared" si="2"/>
        <v>2026</v>
      </c>
      <c r="L345" s="69"/>
    </row>
    <row r="346" ht="22.5" hidden="1" customHeight="1">
      <c r="A346" s="70" t="s">
        <v>133</v>
      </c>
      <c r="B346" s="63" t="s">
        <v>112</v>
      </c>
      <c r="C346" s="175"/>
      <c r="D346" s="160">
        <v>46296.0</v>
      </c>
      <c r="E346" s="176"/>
      <c r="F346" s="84"/>
      <c r="G346" s="91"/>
      <c r="H346" s="133" t="s">
        <v>70</v>
      </c>
      <c r="I346" s="170" t="s">
        <v>270</v>
      </c>
      <c r="J346" s="73" t="str">
        <f t="shared" si="1"/>
        <v>10 - octubre</v>
      </c>
      <c r="K346" s="73" t="str">
        <f t="shared" si="2"/>
        <v>2026</v>
      </c>
      <c r="L346" s="80"/>
    </row>
    <row r="347" ht="22.5" hidden="1" customHeight="1">
      <c r="A347" s="167" t="s">
        <v>121</v>
      </c>
      <c r="B347" s="63" t="s">
        <v>112</v>
      </c>
      <c r="C347" s="182"/>
      <c r="D347" s="65">
        <v>46296.0</v>
      </c>
      <c r="E347" s="183"/>
      <c r="F347" s="165"/>
      <c r="G347" s="144"/>
      <c r="H347" s="156" t="s">
        <v>70</v>
      </c>
      <c r="I347" s="170" t="s">
        <v>270</v>
      </c>
      <c r="J347" s="168" t="str">
        <f t="shared" si="1"/>
        <v>10 - octubre</v>
      </c>
      <c r="K347" s="168" t="str">
        <f t="shared" si="2"/>
        <v>2026</v>
      </c>
      <c r="L347" s="148"/>
    </row>
    <row r="348" ht="22.5" hidden="1" customHeight="1">
      <c r="A348" s="68" t="s">
        <v>88</v>
      </c>
      <c r="B348" s="63" t="s">
        <v>87</v>
      </c>
      <c r="C348" s="93"/>
      <c r="D348" s="65">
        <v>46054.0</v>
      </c>
      <c r="E348" s="86"/>
      <c r="F348" s="87"/>
      <c r="G348" s="95"/>
      <c r="H348" s="115" t="s">
        <v>70</v>
      </c>
      <c r="I348" s="149" t="s">
        <v>276</v>
      </c>
      <c r="J348" s="66" t="str">
        <f t="shared" si="1"/>
        <v>02 - febrero</v>
      </c>
      <c r="K348" s="66" t="str">
        <f t="shared" si="2"/>
        <v>2026</v>
      </c>
      <c r="L348" s="69"/>
    </row>
    <row r="349" ht="22.5" hidden="1" customHeight="1">
      <c r="A349" s="77" t="s">
        <v>93</v>
      </c>
      <c r="B349" s="63" t="s">
        <v>87</v>
      </c>
      <c r="C349" s="159">
        <v>25000.0</v>
      </c>
      <c r="D349" s="160">
        <v>46054.0</v>
      </c>
      <c r="E349" s="160">
        <v>46054.0</v>
      </c>
      <c r="F349" s="84"/>
      <c r="G349" s="161" t="s">
        <v>206</v>
      </c>
      <c r="H349" s="162" t="s">
        <v>69</v>
      </c>
      <c r="I349" s="149" t="s">
        <v>276</v>
      </c>
      <c r="J349" s="150" t="str">
        <f t="shared" si="1"/>
        <v>02 - febrero</v>
      </c>
      <c r="K349" s="150" t="str">
        <f t="shared" si="2"/>
        <v>2026</v>
      </c>
      <c r="L349" s="80"/>
    </row>
    <row r="350" ht="22.5" hidden="1" customHeight="1">
      <c r="A350" s="68" t="s">
        <v>94</v>
      </c>
      <c r="B350" s="63" t="s">
        <v>87</v>
      </c>
      <c r="C350" s="157">
        <v>25000.0</v>
      </c>
      <c r="D350" s="65">
        <v>46054.0</v>
      </c>
      <c r="E350" s="65">
        <v>46054.0</v>
      </c>
      <c r="F350" s="87"/>
      <c r="G350" s="158" t="s">
        <v>206</v>
      </c>
      <c r="H350" s="67" t="s">
        <v>69</v>
      </c>
      <c r="I350" s="149" t="s">
        <v>276</v>
      </c>
      <c r="J350" s="66" t="str">
        <f t="shared" si="1"/>
        <v>02 - febrero</v>
      </c>
      <c r="K350" s="66" t="str">
        <f t="shared" si="2"/>
        <v>2026</v>
      </c>
      <c r="L350" s="69"/>
    </row>
    <row r="351" ht="22.5" hidden="1" customHeight="1">
      <c r="A351" s="77" t="s">
        <v>96</v>
      </c>
      <c r="B351" s="63" t="s">
        <v>87</v>
      </c>
      <c r="C351" s="159">
        <v>25000.0</v>
      </c>
      <c r="D351" s="160">
        <v>46054.0</v>
      </c>
      <c r="E351" s="160">
        <v>46054.0</v>
      </c>
      <c r="F351" s="84"/>
      <c r="G351" s="161" t="s">
        <v>206</v>
      </c>
      <c r="H351" s="162" t="s">
        <v>69</v>
      </c>
      <c r="I351" s="149" t="s">
        <v>276</v>
      </c>
      <c r="J351" s="150" t="str">
        <f t="shared" si="1"/>
        <v>02 - febrero</v>
      </c>
      <c r="K351" s="150" t="str">
        <f t="shared" si="2"/>
        <v>2026</v>
      </c>
      <c r="L351" s="80"/>
    </row>
    <row r="352" ht="22.5" hidden="1" customHeight="1">
      <c r="A352" s="152" t="s">
        <v>97</v>
      </c>
      <c r="B352" s="63" t="s">
        <v>87</v>
      </c>
      <c r="C352" s="157">
        <v>25000.0</v>
      </c>
      <c r="D352" s="65">
        <v>46054.0</v>
      </c>
      <c r="E352" s="65">
        <v>46054.0</v>
      </c>
      <c r="F352" s="165"/>
      <c r="G352" s="158" t="s">
        <v>206</v>
      </c>
      <c r="H352" s="67" t="s">
        <v>69</v>
      </c>
      <c r="I352" s="149" t="s">
        <v>276</v>
      </c>
      <c r="J352" s="66" t="str">
        <f t="shared" si="1"/>
        <v>02 - febrero</v>
      </c>
      <c r="K352" s="66" t="str">
        <f t="shared" si="2"/>
        <v>2026</v>
      </c>
      <c r="L352" s="69"/>
    </row>
    <row r="353" ht="22.5" hidden="1" customHeight="1">
      <c r="A353" s="151" t="s">
        <v>98</v>
      </c>
      <c r="B353" s="63" t="s">
        <v>87</v>
      </c>
      <c r="C353" s="175"/>
      <c r="D353" s="160">
        <v>46054.0</v>
      </c>
      <c r="E353" s="176"/>
      <c r="F353" s="166"/>
      <c r="G353" s="184"/>
      <c r="H353" s="185" t="s">
        <v>70</v>
      </c>
      <c r="I353" s="149" t="s">
        <v>276</v>
      </c>
      <c r="J353" s="150" t="str">
        <f t="shared" si="1"/>
        <v>02 - febrero</v>
      </c>
      <c r="K353" s="150" t="str">
        <f t="shared" si="2"/>
        <v>2026</v>
      </c>
      <c r="L353" s="80"/>
    </row>
    <row r="354" ht="22.5" hidden="1" customHeight="1">
      <c r="A354" s="152" t="s">
        <v>99</v>
      </c>
      <c r="B354" s="63" t="s">
        <v>87</v>
      </c>
      <c r="C354" s="157">
        <v>25000.0</v>
      </c>
      <c r="D354" s="65">
        <v>46054.0</v>
      </c>
      <c r="E354" s="65">
        <v>46054.0</v>
      </c>
      <c r="F354" s="165"/>
      <c r="G354" s="158" t="s">
        <v>206</v>
      </c>
      <c r="H354" s="67" t="s">
        <v>69</v>
      </c>
      <c r="I354" s="149" t="s">
        <v>276</v>
      </c>
      <c r="J354" s="66" t="str">
        <f t="shared" si="1"/>
        <v>02 - febrero</v>
      </c>
      <c r="K354" s="66" t="str">
        <f t="shared" si="2"/>
        <v>2026</v>
      </c>
      <c r="L354" s="69"/>
    </row>
    <row r="355" ht="22.5" hidden="1" customHeight="1">
      <c r="A355" s="151" t="s">
        <v>100</v>
      </c>
      <c r="B355" s="63" t="s">
        <v>87</v>
      </c>
      <c r="C355" s="159">
        <v>25000.0</v>
      </c>
      <c r="D355" s="160">
        <v>46054.0</v>
      </c>
      <c r="E355" s="160">
        <v>46054.0</v>
      </c>
      <c r="F355" s="166"/>
      <c r="G355" s="161" t="s">
        <v>206</v>
      </c>
      <c r="H355" s="162" t="s">
        <v>69</v>
      </c>
      <c r="I355" s="149" t="s">
        <v>276</v>
      </c>
      <c r="J355" s="150" t="str">
        <f t="shared" si="1"/>
        <v>02 - febrero</v>
      </c>
      <c r="K355" s="150" t="str">
        <f t="shared" si="2"/>
        <v>2026</v>
      </c>
      <c r="L355" s="80"/>
    </row>
    <row r="356" ht="22.5" hidden="1" customHeight="1">
      <c r="A356" s="167" t="s">
        <v>102</v>
      </c>
      <c r="B356" s="63" t="s">
        <v>87</v>
      </c>
      <c r="C356" s="93"/>
      <c r="D356" s="65">
        <v>46054.0</v>
      </c>
      <c r="E356" s="86"/>
      <c r="F356" s="165"/>
      <c r="G356" s="95"/>
      <c r="H356" s="115" t="s">
        <v>70</v>
      </c>
      <c r="I356" s="149" t="s">
        <v>276</v>
      </c>
      <c r="J356" s="168" t="str">
        <f t="shared" si="1"/>
        <v>02 - febrero</v>
      </c>
      <c r="K356" s="168" t="str">
        <f t="shared" si="2"/>
        <v>2026</v>
      </c>
      <c r="L356" s="69"/>
    </row>
    <row r="357" ht="22.5" hidden="1" customHeight="1">
      <c r="A357" s="169" t="s">
        <v>103</v>
      </c>
      <c r="B357" s="63" t="s">
        <v>87</v>
      </c>
      <c r="C357" s="159">
        <v>25000.0</v>
      </c>
      <c r="D357" s="160">
        <v>46054.0</v>
      </c>
      <c r="E357" s="160">
        <v>46054.0</v>
      </c>
      <c r="F357" s="166"/>
      <c r="G357" s="161" t="s">
        <v>206</v>
      </c>
      <c r="H357" s="162" t="s">
        <v>69</v>
      </c>
      <c r="I357" s="149" t="s">
        <v>276</v>
      </c>
      <c r="J357" s="150" t="str">
        <f t="shared" si="1"/>
        <v>02 - febrero</v>
      </c>
      <c r="K357" s="150" t="str">
        <f t="shared" si="2"/>
        <v>2026</v>
      </c>
      <c r="L357" s="80"/>
    </row>
    <row r="358" ht="22.5" hidden="1" customHeight="1">
      <c r="A358" s="167" t="s">
        <v>106</v>
      </c>
      <c r="B358" s="63" t="s">
        <v>87</v>
      </c>
      <c r="C358" s="157">
        <v>25000.0</v>
      </c>
      <c r="D358" s="65">
        <v>46054.0</v>
      </c>
      <c r="E358" s="65">
        <v>46054.0</v>
      </c>
      <c r="F358" s="165"/>
      <c r="G358" s="158" t="s">
        <v>206</v>
      </c>
      <c r="H358" s="67" t="s">
        <v>69</v>
      </c>
      <c r="I358" s="149" t="s">
        <v>276</v>
      </c>
      <c r="J358" s="168" t="str">
        <f t="shared" si="1"/>
        <v>02 - febrero</v>
      </c>
      <c r="K358" s="168" t="str">
        <f t="shared" si="2"/>
        <v>2026</v>
      </c>
      <c r="L358" s="69"/>
    </row>
    <row r="359" ht="22.5" hidden="1" customHeight="1">
      <c r="A359" s="169" t="s">
        <v>107</v>
      </c>
      <c r="B359" s="63" t="s">
        <v>87</v>
      </c>
      <c r="C359" s="159">
        <v>25000.0</v>
      </c>
      <c r="D359" s="160">
        <v>46054.0</v>
      </c>
      <c r="E359" s="160">
        <v>46054.0</v>
      </c>
      <c r="F359" s="166"/>
      <c r="G359" s="161" t="s">
        <v>206</v>
      </c>
      <c r="H359" s="162" t="s">
        <v>69</v>
      </c>
      <c r="I359" s="149" t="s">
        <v>276</v>
      </c>
      <c r="J359" s="150" t="str">
        <f t="shared" si="1"/>
        <v>02 - febrero</v>
      </c>
      <c r="K359" s="150" t="str">
        <f t="shared" si="2"/>
        <v>2026</v>
      </c>
      <c r="L359" s="80"/>
    </row>
    <row r="360" ht="22.5" hidden="1" customHeight="1">
      <c r="A360" s="167" t="s">
        <v>108</v>
      </c>
      <c r="B360" s="63" t="s">
        <v>87</v>
      </c>
      <c r="C360" s="157">
        <v>25000.0</v>
      </c>
      <c r="D360" s="65">
        <v>46054.0</v>
      </c>
      <c r="E360" s="65">
        <v>46054.0</v>
      </c>
      <c r="F360" s="165"/>
      <c r="G360" s="158" t="s">
        <v>206</v>
      </c>
      <c r="H360" s="67" t="s">
        <v>69</v>
      </c>
      <c r="I360" s="149" t="s">
        <v>276</v>
      </c>
      <c r="J360" s="168" t="str">
        <f t="shared" si="1"/>
        <v>02 - febrero</v>
      </c>
      <c r="K360" s="168" t="str">
        <f t="shared" si="2"/>
        <v>2026</v>
      </c>
      <c r="L360" s="69"/>
    </row>
    <row r="361" ht="22.5" hidden="1" customHeight="1">
      <c r="A361" s="169" t="s">
        <v>110</v>
      </c>
      <c r="B361" s="63" t="s">
        <v>87</v>
      </c>
      <c r="C361" s="175"/>
      <c r="D361" s="160">
        <v>46054.0</v>
      </c>
      <c r="E361" s="176"/>
      <c r="F361" s="166"/>
      <c r="G361" s="184"/>
      <c r="H361" s="185" t="s">
        <v>70</v>
      </c>
      <c r="I361" s="149" t="s">
        <v>276</v>
      </c>
      <c r="J361" s="150" t="str">
        <f t="shared" si="1"/>
        <v>02 - febrero</v>
      </c>
      <c r="K361" s="150" t="str">
        <f t="shared" si="2"/>
        <v>2026</v>
      </c>
      <c r="L361" s="80"/>
    </row>
    <row r="362" ht="22.5" hidden="1" customHeight="1">
      <c r="A362" s="167" t="s">
        <v>105</v>
      </c>
      <c r="B362" s="63" t="s">
        <v>87</v>
      </c>
      <c r="C362" s="93"/>
      <c r="D362" s="65">
        <v>46054.0</v>
      </c>
      <c r="E362" s="86"/>
      <c r="F362" s="165"/>
      <c r="G362" s="95"/>
      <c r="H362" s="115" t="s">
        <v>70</v>
      </c>
      <c r="I362" s="149" t="s">
        <v>276</v>
      </c>
      <c r="J362" s="168" t="str">
        <f t="shared" si="1"/>
        <v>02 - febrero</v>
      </c>
      <c r="K362" s="168" t="str">
        <f t="shared" si="2"/>
        <v>2026</v>
      </c>
      <c r="L362" s="69"/>
    </row>
    <row r="363" ht="22.5" hidden="1" customHeight="1">
      <c r="A363" s="151" t="s">
        <v>88</v>
      </c>
      <c r="B363" s="63" t="s">
        <v>87</v>
      </c>
      <c r="C363" s="159">
        <v>30000.0</v>
      </c>
      <c r="D363" s="160">
        <v>46082.0</v>
      </c>
      <c r="E363" s="160">
        <v>46082.0</v>
      </c>
      <c r="F363" s="166"/>
      <c r="G363" s="161" t="s">
        <v>206</v>
      </c>
      <c r="H363" s="162" t="s">
        <v>69</v>
      </c>
      <c r="I363" s="149" t="s">
        <v>276</v>
      </c>
      <c r="J363" s="150" t="str">
        <f t="shared" si="1"/>
        <v>03 - marzo</v>
      </c>
      <c r="K363" s="150" t="str">
        <f t="shared" si="2"/>
        <v>2026</v>
      </c>
      <c r="L363" s="80"/>
    </row>
    <row r="364" ht="22.5" hidden="1" customHeight="1">
      <c r="A364" s="152" t="s">
        <v>93</v>
      </c>
      <c r="B364" s="63" t="s">
        <v>87</v>
      </c>
      <c r="C364" s="157">
        <v>30000.0</v>
      </c>
      <c r="D364" s="65">
        <v>46082.0</v>
      </c>
      <c r="E364" s="65">
        <v>46082.0</v>
      </c>
      <c r="F364" s="165"/>
      <c r="G364" s="158" t="s">
        <v>206</v>
      </c>
      <c r="H364" s="67" t="s">
        <v>69</v>
      </c>
      <c r="I364" s="149" t="s">
        <v>276</v>
      </c>
      <c r="J364" s="66" t="str">
        <f t="shared" si="1"/>
        <v>03 - marzo</v>
      </c>
      <c r="K364" s="66" t="str">
        <f t="shared" si="2"/>
        <v>2026</v>
      </c>
      <c r="L364" s="69"/>
    </row>
    <row r="365" ht="22.5" hidden="1" customHeight="1">
      <c r="A365" s="151" t="s">
        <v>94</v>
      </c>
      <c r="B365" s="63" t="s">
        <v>87</v>
      </c>
      <c r="C365" s="159">
        <v>30000.0</v>
      </c>
      <c r="D365" s="160">
        <v>46082.0</v>
      </c>
      <c r="E365" s="160">
        <v>46082.0</v>
      </c>
      <c r="F365" s="166"/>
      <c r="G365" s="161" t="s">
        <v>206</v>
      </c>
      <c r="H365" s="162" t="s">
        <v>69</v>
      </c>
      <c r="I365" s="149" t="s">
        <v>276</v>
      </c>
      <c r="J365" s="150" t="str">
        <f t="shared" si="1"/>
        <v>03 - marzo</v>
      </c>
      <c r="K365" s="150" t="str">
        <f t="shared" si="2"/>
        <v>2026</v>
      </c>
      <c r="L365" s="80"/>
    </row>
    <row r="366" ht="22.5" hidden="1" customHeight="1">
      <c r="A366" s="152" t="s">
        <v>96</v>
      </c>
      <c r="B366" s="63" t="s">
        <v>87</v>
      </c>
      <c r="C366" s="157">
        <v>30000.0</v>
      </c>
      <c r="D366" s="65">
        <v>46082.0</v>
      </c>
      <c r="E366" s="65">
        <v>46082.0</v>
      </c>
      <c r="F366" s="165"/>
      <c r="G366" s="158" t="s">
        <v>206</v>
      </c>
      <c r="H366" s="67" t="s">
        <v>69</v>
      </c>
      <c r="I366" s="149" t="s">
        <v>276</v>
      </c>
      <c r="J366" s="66" t="str">
        <f t="shared" si="1"/>
        <v>03 - marzo</v>
      </c>
      <c r="K366" s="66" t="str">
        <f t="shared" si="2"/>
        <v>2026</v>
      </c>
      <c r="L366" s="69"/>
    </row>
    <row r="367" ht="22.5" hidden="1" customHeight="1">
      <c r="A367" s="77" t="s">
        <v>97</v>
      </c>
      <c r="B367" s="63" t="s">
        <v>87</v>
      </c>
      <c r="C367" s="159">
        <v>30000.0</v>
      </c>
      <c r="D367" s="160">
        <v>46082.0</v>
      </c>
      <c r="E367" s="160">
        <v>46082.0</v>
      </c>
      <c r="F367" s="84"/>
      <c r="G367" s="161" t="s">
        <v>206</v>
      </c>
      <c r="H367" s="162" t="s">
        <v>69</v>
      </c>
      <c r="I367" s="149" t="s">
        <v>276</v>
      </c>
      <c r="J367" s="150" t="str">
        <f t="shared" si="1"/>
        <v>03 - marzo</v>
      </c>
      <c r="K367" s="150" t="str">
        <f t="shared" si="2"/>
        <v>2026</v>
      </c>
      <c r="L367" s="80"/>
    </row>
    <row r="368" ht="22.5" hidden="1" customHeight="1">
      <c r="A368" s="68" t="s">
        <v>98</v>
      </c>
      <c r="B368" s="63" t="s">
        <v>87</v>
      </c>
      <c r="C368" s="93"/>
      <c r="D368" s="65">
        <v>46082.0</v>
      </c>
      <c r="E368" s="86"/>
      <c r="F368" s="87"/>
      <c r="G368" s="95"/>
      <c r="H368" s="115" t="s">
        <v>70</v>
      </c>
      <c r="I368" s="149" t="s">
        <v>276</v>
      </c>
      <c r="J368" s="66" t="str">
        <f t="shared" si="1"/>
        <v>03 - marzo</v>
      </c>
      <c r="K368" s="66" t="str">
        <f t="shared" si="2"/>
        <v>2026</v>
      </c>
      <c r="L368" s="69"/>
    </row>
    <row r="369" ht="22.5" hidden="1" customHeight="1">
      <c r="A369" s="77" t="s">
        <v>99</v>
      </c>
      <c r="B369" s="63" t="s">
        <v>87</v>
      </c>
      <c r="C369" s="159">
        <v>30000.0</v>
      </c>
      <c r="D369" s="160">
        <v>46082.0</v>
      </c>
      <c r="E369" s="160">
        <v>46082.0</v>
      </c>
      <c r="F369" s="84"/>
      <c r="G369" s="161" t="s">
        <v>206</v>
      </c>
      <c r="H369" s="162" t="s">
        <v>69</v>
      </c>
      <c r="I369" s="149" t="s">
        <v>276</v>
      </c>
      <c r="J369" s="150" t="str">
        <f t="shared" si="1"/>
        <v>03 - marzo</v>
      </c>
      <c r="K369" s="150" t="str">
        <f t="shared" si="2"/>
        <v>2026</v>
      </c>
      <c r="L369" s="80"/>
    </row>
    <row r="370" ht="22.5" hidden="1" customHeight="1">
      <c r="A370" s="68" t="s">
        <v>100</v>
      </c>
      <c r="B370" s="63" t="s">
        <v>87</v>
      </c>
      <c r="C370" s="157">
        <v>30000.0</v>
      </c>
      <c r="D370" s="65">
        <v>46082.0</v>
      </c>
      <c r="E370" s="65">
        <v>46082.0</v>
      </c>
      <c r="F370" s="87"/>
      <c r="G370" s="158" t="s">
        <v>206</v>
      </c>
      <c r="H370" s="67" t="s">
        <v>69</v>
      </c>
      <c r="I370" s="149" t="s">
        <v>276</v>
      </c>
      <c r="J370" s="66" t="str">
        <f t="shared" si="1"/>
        <v>03 - marzo</v>
      </c>
      <c r="K370" s="66" t="str">
        <f t="shared" si="2"/>
        <v>2026</v>
      </c>
      <c r="L370" s="69"/>
    </row>
    <row r="371" ht="22.5" hidden="1" customHeight="1">
      <c r="A371" s="70" t="s">
        <v>102</v>
      </c>
      <c r="B371" s="63" t="s">
        <v>87</v>
      </c>
      <c r="C371" s="159">
        <v>30000.0</v>
      </c>
      <c r="D371" s="160">
        <v>46082.0</v>
      </c>
      <c r="E371" s="160">
        <v>46082.0</v>
      </c>
      <c r="F371" s="84"/>
      <c r="G371" s="161" t="s">
        <v>206</v>
      </c>
      <c r="H371" s="162" t="s">
        <v>69</v>
      </c>
      <c r="I371" s="149" t="s">
        <v>276</v>
      </c>
      <c r="J371" s="73" t="str">
        <f t="shared" si="1"/>
        <v>03 - marzo</v>
      </c>
      <c r="K371" s="73" t="str">
        <f t="shared" si="2"/>
        <v>2026</v>
      </c>
      <c r="L371" s="80"/>
    </row>
    <row r="372" ht="22.5" hidden="1" customHeight="1">
      <c r="A372" s="62" t="s">
        <v>103</v>
      </c>
      <c r="B372" s="63" t="s">
        <v>87</v>
      </c>
      <c r="C372" s="157">
        <v>30000.0</v>
      </c>
      <c r="D372" s="65">
        <v>46082.0</v>
      </c>
      <c r="E372" s="65">
        <v>46082.0</v>
      </c>
      <c r="F372" s="87"/>
      <c r="G372" s="158" t="s">
        <v>206</v>
      </c>
      <c r="H372" s="67" t="s">
        <v>69</v>
      </c>
      <c r="I372" s="149" t="s">
        <v>276</v>
      </c>
      <c r="J372" s="66" t="str">
        <f t="shared" si="1"/>
        <v>03 - marzo</v>
      </c>
      <c r="K372" s="66" t="str">
        <f t="shared" si="2"/>
        <v>2026</v>
      </c>
      <c r="L372" s="69"/>
    </row>
    <row r="373" ht="22.5" hidden="1" customHeight="1">
      <c r="A373" s="70" t="s">
        <v>106</v>
      </c>
      <c r="B373" s="63" t="s">
        <v>87</v>
      </c>
      <c r="C373" s="175"/>
      <c r="D373" s="160">
        <v>46082.0</v>
      </c>
      <c r="E373" s="176"/>
      <c r="F373" s="84"/>
      <c r="G373" s="161" t="s">
        <v>206</v>
      </c>
      <c r="H373" s="162" t="s">
        <v>69</v>
      </c>
      <c r="I373" s="149" t="s">
        <v>276</v>
      </c>
      <c r="J373" s="73" t="str">
        <f t="shared" si="1"/>
        <v>03 - marzo</v>
      </c>
      <c r="K373" s="73" t="str">
        <f t="shared" si="2"/>
        <v>2026</v>
      </c>
      <c r="L373" s="80"/>
    </row>
    <row r="374" ht="22.5" hidden="1" customHeight="1">
      <c r="A374" s="62" t="s">
        <v>107</v>
      </c>
      <c r="B374" s="63" t="s">
        <v>87</v>
      </c>
      <c r="C374" s="157">
        <v>30000.0</v>
      </c>
      <c r="D374" s="65">
        <v>46082.0</v>
      </c>
      <c r="E374" s="65">
        <v>46082.0</v>
      </c>
      <c r="F374" s="87"/>
      <c r="G374" s="158" t="s">
        <v>206</v>
      </c>
      <c r="H374" s="67" t="s">
        <v>69</v>
      </c>
      <c r="I374" s="149" t="s">
        <v>276</v>
      </c>
      <c r="J374" s="66" t="str">
        <f t="shared" si="1"/>
        <v>03 - marzo</v>
      </c>
      <c r="K374" s="66" t="str">
        <f t="shared" si="2"/>
        <v>2026</v>
      </c>
      <c r="L374" s="69"/>
    </row>
    <row r="375" ht="22.5" hidden="1" customHeight="1">
      <c r="A375" s="70" t="s">
        <v>108</v>
      </c>
      <c r="B375" s="63" t="s">
        <v>87</v>
      </c>
      <c r="C375" s="159">
        <v>30000.0</v>
      </c>
      <c r="D375" s="160">
        <v>46082.0</v>
      </c>
      <c r="E375" s="160">
        <v>46082.0</v>
      </c>
      <c r="F375" s="84"/>
      <c r="G375" s="161" t="s">
        <v>206</v>
      </c>
      <c r="H375" s="162" t="s">
        <v>69</v>
      </c>
      <c r="I375" s="149" t="s">
        <v>276</v>
      </c>
      <c r="J375" s="73" t="str">
        <f t="shared" si="1"/>
        <v>03 - marzo</v>
      </c>
      <c r="K375" s="73" t="str">
        <f t="shared" si="2"/>
        <v>2026</v>
      </c>
      <c r="L375" s="80"/>
    </row>
    <row r="376" ht="22.5" hidden="1" customHeight="1">
      <c r="A376" s="62" t="s">
        <v>110</v>
      </c>
      <c r="B376" s="63" t="s">
        <v>87</v>
      </c>
      <c r="C376" s="157">
        <v>30000.0</v>
      </c>
      <c r="D376" s="65">
        <v>46082.0</v>
      </c>
      <c r="E376" s="65">
        <v>46082.0</v>
      </c>
      <c r="F376" s="87"/>
      <c r="G376" s="158" t="s">
        <v>206</v>
      </c>
      <c r="H376" s="67" t="s">
        <v>69</v>
      </c>
      <c r="I376" s="149" t="s">
        <v>276</v>
      </c>
      <c r="J376" s="66" t="str">
        <f t="shared" si="1"/>
        <v>03 - marzo</v>
      </c>
      <c r="K376" s="66" t="str">
        <f t="shared" si="2"/>
        <v>2026</v>
      </c>
      <c r="L376" s="69"/>
    </row>
    <row r="377" ht="22.5" hidden="1" customHeight="1">
      <c r="A377" s="70" t="s">
        <v>105</v>
      </c>
      <c r="B377" s="63" t="s">
        <v>87</v>
      </c>
      <c r="C377" s="175"/>
      <c r="D377" s="160">
        <v>46082.0</v>
      </c>
      <c r="E377" s="176"/>
      <c r="F377" s="84"/>
      <c r="G377" s="184"/>
      <c r="H377" s="185" t="s">
        <v>70</v>
      </c>
      <c r="I377" s="149" t="s">
        <v>276</v>
      </c>
      <c r="J377" s="73" t="str">
        <f t="shared" si="1"/>
        <v>03 - marzo</v>
      </c>
      <c r="K377" s="73" t="str">
        <f t="shared" si="2"/>
        <v>2026</v>
      </c>
      <c r="L377" s="80"/>
    </row>
    <row r="378" ht="22.5" hidden="1" customHeight="1">
      <c r="A378" s="68" t="s">
        <v>88</v>
      </c>
      <c r="B378" s="63" t="s">
        <v>87</v>
      </c>
      <c r="C378" s="93"/>
      <c r="D378" s="65">
        <v>46113.0</v>
      </c>
      <c r="E378" s="86"/>
      <c r="F378" s="87"/>
      <c r="G378" s="95"/>
      <c r="H378" s="115" t="s">
        <v>70</v>
      </c>
      <c r="I378" s="149" t="s">
        <v>276</v>
      </c>
      <c r="J378" s="66" t="str">
        <f t="shared" si="1"/>
        <v>04 - abril</v>
      </c>
      <c r="K378" s="66" t="str">
        <f t="shared" si="2"/>
        <v>2026</v>
      </c>
      <c r="L378" s="69"/>
    </row>
    <row r="379" ht="22.5" hidden="1" customHeight="1">
      <c r="A379" s="77" t="s">
        <v>93</v>
      </c>
      <c r="B379" s="63" t="s">
        <v>87</v>
      </c>
      <c r="C379" s="159">
        <v>30000.0</v>
      </c>
      <c r="D379" s="160">
        <v>46113.0</v>
      </c>
      <c r="E379" s="160">
        <v>46113.0</v>
      </c>
      <c r="F379" s="84"/>
      <c r="G379" s="161" t="s">
        <v>206</v>
      </c>
      <c r="H379" s="162" t="s">
        <v>69</v>
      </c>
      <c r="I379" s="149" t="s">
        <v>276</v>
      </c>
      <c r="J379" s="150" t="str">
        <f t="shared" si="1"/>
        <v>04 - abril</v>
      </c>
      <c r="K379" s="150" t="str">
        <f t="shared" si="2"/>
        <v>2026</v>
      </c>
      <c r="L379" s="80"/>
    </row>
    <row r="380" ht="22.5" hidden="1" customHeight="1">
      <c r="A380" s="68" t="s">
        <v>94</v>
      </c>
      <c r="B380" s="63" t="s">
        <v>87</v>
      </c>
      <c r="C380" s="157">
        <v>30000.0</v>
      </c>
      <c r="D380" s="65">
        <v>46113.0</v>
      </c>
      <c r="E380" s="65">
        <v>46113.0</v>
      </c>
      <c r="F380" s="87"/>
      <c r="G380" s="158" t="s">
        <v>206</v>
      </c>
      <c r="H380" s="67" t="s">
        <v>69</v>
      </c>
      <c r="I380" s="149" t="s">
        <v>276</v>
      </c>
      <c r="J380" s="66" t="str">
        <f t="shared" si="1"/>
        <v>04 - abril</v>
      </c>
      <c r="K380" s="66" t="str">
        <f t="shared" si="2"/>
        <v>2026</v>
      </c>
      <c r="L380" s="69"/>
    </row>
    <row r="381" ht="22.5" hidden="1" customHeight="1">
      <c r="A381" s="77" t="s">
        <v>96</v>
      </c>
      <c r="B381" s="63" t="s">
        <v>87</v>
      </c>
      <c r="C381" s="159">
        <v>30000.0</v>
      </c>
      <c r="D381" s="160">
        <v>46113.0</v>
      </c>
      <c r="E381" s="160">
        <v>46113.0</v>
      </c>
      <c r="F381" s="84"/>
      <c r="G381" s="161" t="s">
        <v>206</v>
      </c>
      <c r="H381" s="162" t="s">
        <v>69</v>
      </c>
      <c r="I381" s="149" t="s">
        <v>276</v>
      </c>
      <c r="J381" s="150" t="str">
        <f t="shared" si="1"/>
        <v>04 - abril</v>
      </c>
      <c r="K381" s="150" t="str">
        <f t="shared" si="2"/>
        <v>2026</v>
      </c>
      <c r="L381" s="80"/>
    </row>
    <row r="382" ht="22.5" hidden="1" customHeight="1">
      <c r="A382" s="152" t="s">
        <v>97</v>
      </c>
      <c r="B382" s="63" t="s">
        <v>87</v>
      </c>
      <c r="C382" s="157">
        <v>30000.0</v>
      </c>
      <c r="D382" s="65">
        <v>46113.0</v>
      </c>
      <c r="E382" s="65">
        <v>46113.0</v>
      </c>
      <c r="F382" s="165"/>
      <c r="G382" s="158" t="s">
        <v>206</v>
      </c>
      <c r="H382" s="67" t="s">
        <v>69</v>
      </c>
      <c r="I382" s="149" t="s">
        <v>276</v>
      </c>
      <c r="J382" s="66" t="str">
        <f t="shared" si="1"/>
        <v>04 - abril</v>
      </c>
      <c r="K382" s="66" t="str">
        <f t="shared" si="2"/>
        <v>2026</v>
      </c>
      <c r="L382" s="69"/>
    </row>
    <row r="383" ht="22.5" hidden="1" customHeight="1">
      <c r="A383" s="151" t="s">
        <v>98</v>
      </c>
      <c r="B383" s="63" t="s">
        <v>87</v>
      </c>
      <c r="C383" s="175"/>
      <c r="D383" s="160">
        <v>46113.0</v>
      </c>
      <c r="E383" s="176"/>
      <c r="F383" s="166"/>
      <c r="G383" s="184"/>
      <c r="H383" s="185" t="s">
        <v>70</v>
      </c>
      <c r="I383" s="149" t="s">
        <v>276</v>
      </c>
      <c r="J383" s="150" t="str">
        <f t="shared" si="1"/>
        <v>04 - abril</v>
      </c>
      <c r="K383" s="150" t="str">
        <f t="shared" si="2"/>
        <v>2026</v>
      </c>
      <c r="L383" s="80"/>
    </row>
    <row r="384" ht="22.5" hidden="1" customHeight="1">
      <c r="A384" s="152" t="s">
        <v>99</v>
      </c>
      <c r="B384" s="63" t="s">
        <v>87</v>
      </c>
      <c r="C384" s="93"/>
      <c r="D384" s="65">
        <v>46113.0</v>
      </c>
      <c r="E384" s="86"/>
      <c r="F384" s="165"/>
      <c r="G384" s="95"/>
      <c r="H384" s="115" t="s">
        <v>70</v>
      </c>
      <c r="I384" s="149" t="s">
        <v>276</v>
      </c>
      <c r="J384" s="66" t="str">
        <f t="shared" si="1"/>
        <v>04 - abril</v>
      </c>
      <c r="K384" s="66" t="str">
        <f t="shared" si="2"/>
        <v>2026</v>
      </c>
      <c r="L384" s="69"/>
    </row>
    <row r="385" ht="22.5" hidden="1" customHeight="1">
      <c r="A385" s="151" t="s">
        <v>100</v>
      </c>
      <c r="B385" s="63" t="s">
        <v>87</v>
      </c>
      <c r="C385" s="159">
        <v>30000.0</v>
      </c>
      <c r="D385" s="160">
        <v>46113.0</v>
      </c>
      <c r="E385" s="160">
        <v>46082.0</v>
      </c>
      <c r="F385" s="166"/>
      <c r="G385" s="161" t="s">
        <v>206</v>
      </c>
      <c r="H385" s="162" t="s">
        <v>69</v>
      </c>
      <c r="I385" s="149" t="s">
        <v>276</v>
      </c>
      <c r="J385" s="150" t="str">
        <f t="shared" si="1"/>
        <v>04 - abril</v>
      </c>
      <c r="K385" s="150" t="str">
        <f t="shared" si="2"/>
        <v>2026</v>
      </c>
      <c r="L385" s="80"/>
    </row>
    <row r="386" ht="22.5" hidden="1" customHeight="1">
      <c r="A386" s="167" t="s">
        <v>102</v>
      </c>
      <c r="B386" s="63" t="s">
        <v>87</v>
      </c>
      <c r="C386" s="93"/>
      <c r="D386" s="65">
        <v>46113.0</v>
      </c>
      <c r="E386" s="86"/>
      <c r="F386" s="165"/>
      <c r="G386" s="95"/>
      <c r="H386" s="115" t="s">
        <v>70</v>
      </c>
      <c r="I386" s="149" t="s">
        <v>276</v>
      </c>
      <c r="J386" s="168" t="str">
        <f t="shared" si="1"/>
        <v>04 - abril</v>
      </c>
      <c r="K386" s="168" t="str">
        <f t="shared" si="2"/>
        <v>2026</v>
      </c>
      <c r="L386" s="69"/>
    </row>
    <row r="387" ht="22.5" hidden="1" customHeight="1">
      <c r="A387" s="169" t="s">
        <v>103</v>
      </c>
      <c r="B387" s="63" t="s">
        <v>87</v>
      </c>
      <c r="C387" s="159">
        <v>30000.0</v>
      </c>
      <c r="D387" s="160">
        <v>46113.0</v>
      </c>
      <c r="E387" s="160">
        <v>46113.0</v>
      </c>
      <c r="F387" s="166"/>
      <c r="G387" s="161" t="s">
        <v>206</v>
      </c>
      <c r="H387" s="162" t="s">
        <v>69</v>
      </c>
      <c r="I387" s="149" t="s">
        <v>276</v>
      </c>
      <c r="J387" s="150" t="str">
        <f t="shared" si="1"/>
        <v>04 - abril</v>
      </c>
      <c r="K387" s="150" t="str">
        <f t="shared" si="2"/>
        <v>2026</v>
      </c>
      <c r="L387" s="80"/>
    </row>
    <row r="388" ht="22.5" hidden="1" customHeight="1">
      <c r="A388" s="167" t="s">
        <v>106</v>
      </c>
      <c r="B388" s="63" t="s">
        <v>87</v>
      </c>
      <c r="C388" s="93"/>
      <c r="D388" s="65">
        <v>46113.0</v>
      </c>
      <c r="E388" s="86"/>
      <c r="F388" s="165"/>
      <c r="G388" s="95"/>
      <c r="H388" s="115" t="s">
        <v>70</v>
      </c>
      <c r="I388" s="149" t="s">
        <v>276</v>
      </c>
      <c r="J388" s="168" t="str">
        <f t="shared" si="1"/>
        <v>04 - abril</v>
      </c>
      <c r="K388" s="168" t="str">
        <f t="shared" si="2"/>
        <v>2026</v>
      </c>
      <c r="L388" s="69"/>
    </row>
    <row r="389" ht="22.5" hidden="1" customHeight="1">
      <c r="A389" s="169" t="s">
        <v>107</v>
      </c>
      <c r="B389" s="63" t="s">
        <v>87</v>
      </c>
      <c r="C389" s="175"/>
      <c r="D389" s="160">
        <v>46113.0</v>
      </c>
      <c r="E389" s="176"/>
      <c r="F389" s="166"/>
      <c r="G389" s="184"/>
      <c r="H389" s="185" t="s">
        <v>70</v>
      </c>
      <c r="I389" s="149" t="s">
        <v>276</v>
      </c>
      <c r="J389" s="150" t="str">
        <f t="shared" si="1"/>
        <v>04 - abril</v>
      </c>
      <c r="K389" s="150" t="str">
        <f t="shared" si="2"/>
        <v>2026</v>
      </c>
      <c r="L389" s="80"/>
    </row>
    <row r="390" ht="22.5" hidden="1" customHeight="1">
      <c r="A390" s="167" t="s">
        <v>108</v>
      </c>
      <c r="B390" s="63" t="s">
        <v>87</v>
      </c>
      <c r="C390" s="157">
        <v>30000.0</v>
      </c>
      <c r="D390" s="65">
        <v>46113.0</v>
      </c>
      <c r="E390" s="65">
        <v>46113.0</v>
      </c>
      <c r="F390" s="165"/>
      <c r="G390" s="158" t="s">
        <v>206</v>
      </c>
      <c r="H390" s="67" t="s">
        <v>69</v>
      </c>
      <c r="I390" s="149" t="s">
        <v>276</v>
      </c>
      <c r="J390" s="168" t="str">
        <f t="shared" si="1"/>
        <v>04 - abril</v>
      </c>
      <c r="K390" s="168" t="str">
        <f t="shared" si="2"/>
        <v>2026</v>
      </c>
      <c r="L390" s="69"/>
    </row>
    <row r="391" ht="22.5" hidden="1" customHeight="1">
      <c r="A391" s="169" t="s">
        <v>110</v>
      </c>
      <c r="B391" s="63" t="s">
        <v>87</v>
      </c>
      <c r="C391" s="175"/>
      <c r="D391" s="160">
        <v>46113.0</v>
      </c>
      <c r="E391" s="176"/>
      <c r="F391" s="166"/>
      <c r="G391" s="184"/>
      <c r="H391" s="185" t="s">
        <v>70</v>
      </c>
      <c r="I391" s="149" t="s">
        <v>276</v>
      </c>
      <c r="J391" s="150" t="str">
        <f t="shared" si="1"/>
        <v>04 - abril</v>
      </c>
      <c r="K391" s="150" t="str">
        <f t="shared" si="2"/>
        <v>2026</v>
      </c>
      <c r="L391" s="80"/>
    </row>
    <row r="392" ht="22.5" hidden="1" customHeight="1">
      <c r="A392" s="167" t="s">
        <v>105</v>
      </c>
      <c r="B392" s="63" t="s">
        <v>87</v>
      </c>
      <c r="C392" s="93"/>
      <c r="D392" s="65">
        <v>46113.0</v>
      </c>
      <c r="E392" s="86"/>
      <c r="F392" s="165"/>
      <c r="G392" s="95"/>
      <c r="H392" s="115" t="s">
        <v>70</v>
      </c>
      <c r="I392" s="149" t="s">
        <v>276</v>
      </c>
      <c r="J392" s="168" t="str">
        <f t="shared" si="1"/>
        <v>04 - abril</v>
      </c>
      <c r="K392" s="168" t="str">
        <f t="shared" si="2"/>
        <v>2026</v>
      </c>
      <c r="L392" s="69"/>
    </row>
    <row r="393" ht="22.5" hidden="1" customHeight="1">
      <c r="A393" s="151" t="s">
        <v>88</v>
      </c>
      <c r="B393" s="63" t="s">
        <v>87</v>
      </c>
      <c r="C393" s="175"/>
      <c r="D393" s="160">
        <v>46143.0</v>
      </c>
      <c r="E393" s="176"/>
      <c r="F393" s="166"/>
      <c r="G393" s="184"/>
      <c r="H393" s="185" t="s">
        <v>70</v>
      </c>
      <c r="I393" s="149" t="s">
        <v>276</v>
      </c>
      <c r="J393" s="150" t="str">
        <f t="shared" si="1"/>
        <v>05 - mayo</v>
      </c>
      <c r="K393" s="150" t="str">
        <f t="shared" si="2"/>
        <v>2026</v>
      </c>
      <c r="L393" s="80"/>
    </row>
    <row r="394" ht="22.5" hidden="1" customHeight="1">
      <c r="A394" s="152" t="s">
        <v>93</v>
      </c>
      <c r="B394" s="63" t="s">
        <v>87</v>
      </c>
      <c r="C394" s="93"/>
      <c r="D394" s="65">
        <v>46143.0</v>
      </c>
      <c r="E394" s="86"/>
      <c r="F394" s="165"/>
      <c r="G394" s="95"/>
      <c r="H394" s="115" t="s">
        <v>70</v>
      </c>
      <c r="I394" s="149" t="s">
        <v>276</v>
      </c>
      <c r="J394" s="66" t="str">
        <f t="shared" si="1"/>
        <v>05 - mayo</v>
      </c>
      <c r="K394" s="66" t="str">
        <f t="shared" si="2"/>
        <v>2026</v>
      </c>
      <c r="L394" s="69"/>
    </row>
    <row r="395" ht="22.5" hidden="1" customHeight="1">
      <c r="A395" s="151" t="s">
        <v>94</v>
      </c>
      <c r="B395" s="63" t="s">
        <v>87</v>
      </c>
      <c r="C395" s="159">
        <v>30000.0</v>
      </c>
      <c r="D395" s="160">
        <v>46143.0</v>
      </c>
      <c r="E395" s="160">
        <v>46143.0</v>
      </c>
      <c r="F395" s="166"/>
      <c r="G395" s="161" t="s">
        <v>206</v>
      </c>
      <c r="H395" s="162" t="s">
        <v>69</v>
      </c>
      <c r="I395" s="149" t="s">
        <v>276</v>
      </c>
      <c r="J395" s="150" t="str">
        <f t="shared" si="1"/>
        <v>05 - mayo</v>
      </c>
      <c r="K395" s="150" t="str">
        <f t="shared" si="2"/>
        <v>2026</v>
      </c>
      <c r="L395" s="80"/>
    </row>
    <row r="396" ht="22.5" hidden="1" customHeight="1">
      <c r="A396" s="152" t="s">
        <v>96</v>
      </c>
      <c r="B396" s="63" t="s">
        <v>87</v>
      </c>
      <c r="C396" s="157">
        <v>30000.0</v>
      </c>
      <c r="D396" s="65">
        <v>46143.0</v>
      </c>
      <c r="E396" s="65">
        <v>46143.0</v>
      </c>
      <c r="F396" s="165"/>
      <c r="G396" s="158" t="s">
        <v>206</v>
      </c>
      <c r="H396" s="67" t="s">
        <v>69</v>
      </c>
      <c r="I396" s="149" t="s">
        <v>276</v>
      </c>
      <c r="J396" s="66" t="str">
        <f t="shared" si="1"/>
        <v>05 - mayo</v>
      </c>
      <c r="K396" s="66" t="str">
        <f t="shared" si="2"/>
        <v>2026</v>
      </c>
      <c r="L396" s="69"/>
    </row>
    <row r="397" ht="22.5" hidden="1" customHeight="1">
      <c r="A397" s="77" t="s">
        <v>97</v>
      </c>
      <c r="B397" s="63" t="s">
        <v>87</v>
      </c>
      <c r="C397" s="159">
        <v>30000.0</v>
      </c>
      <c r="D397" s="160">
        <v>46143.0</v>
      </c>
      <c r="E397" s="160">
        <v>46143.0</v>
      </c>
      <c r="F397" s="84"/>
      <c r="G397" s="161" t="s">
        <v>206</v>
      </c>
      <c r="H397" s="162" t="s">
        <v>69</v>
      </c>
      <c r="I397" s="149" t="s">
        <v>276</v>
      </c>
      <c r="J397" s="150" t="str">
        <f t="shared" si="1"/>
        <v>05 - mayo</v>
      </c>
      <c r="K397" s="150" t="str">
        <f t="shared" si="2"/>
        <v>2026</v>
      </c>
      <c r="L397" s="80"/>
    </row>
    <row r="398" ht="22.5" hidden="1" customHeight="1">
      <c r="A398" s="68" t="s">
        <v>98</v>
      </c>
      <c r="B398" s="63" t="s">
        <v>87</v>
      </c>
      <c r="C398" s="157">
        <v>30000.0</v>
      </c>
      <c r="D398" s="65">
        <v>46143.0</v>
      </c>
      <c r="E398" s="65">
        <v>46143.0</v>
      </c>
      <c r="F398" s="87"/>
      <c r="G398" s="158" t="s">
        <v>206</v>
      </c>
      <c r="H398" s="67" t="s">
        <v>69</v>
      </c>
      <c r="I398" s="149" t="s">
        <v>276</v>
      </c>
      <c r="J398" s="66" t="str">
        <f t="shared" si="1"/>
        <v>05 - mayo</v>
      </c>
      <c r="K398" s="66" t="str">
        <f t="shared" si="2"/>
        <v>2026</v>
      </c>
      <c r="L398" s="69"/>
    </row>
    <row r="399" ht="22.5" hidden="1" customHeight="1">
      <c r="A399" s="77" t="s">
        <v>99</v>
      </c>
      <c r="B399" s="63" t="s">
        <v>87</v>
      </c>
      <c r="C399" s="159">
        <v>30000.0</v>
      </c>
      <c r="D399" s="160">
        <v>46143.0</v>
      </c>
      <c r="E399" s="160">
        <v>46143.0</v>
      </c>
      <c r="F399" s="84"/>
      <c r="G399" s="161" t="s">
        <v>206</v>
      </c>
      <c r="H399" s="162" t="s">
        <v>69</v>
      </c>
      <c r="I399" s="149" t="s">
        <v>276</v>
      </c>
      <c r="J399" s="150" t="str">
        <f t="shared" si="1"/>
        <v>05 - mayo</v>
      </c>
      <c r="K399" s="150" t="str">
        <f t="shared" si="2"/>
        <v>2026</v>
      </c>
      <c r="L399" s="80"/>
    </row>
    <row r="400" ht="22.5" hidden="1" customHeight="1">
      <c r="A400" s="68" t="s">
        <v>100</v>
      </c>
      <c r="B400" s="63" t="s">
        <v>87</v>
      </c>
      <c r="C400" s="157">
        <v>30000.0</v>
      </c>
      <c r="D400" s="65">
        <v>46143.0</v>
      </c>
      <c r="E400" s="65">
        <v>46143.0</v>
      </c>
      <c r="F400" s="87"/>
      <c r="G400" s="158" t="s">
        <v>206</v>
      </c>
      <c r="H400" s="67" t="s">
        <v>69</v>
      </c>
      <c r="I400" s="149" t="s">
        <v>276</v>
      </c>
      <c r="J400" s="66" t="str">
        <f t="shared" si="1"/>
        <v>05 - mayo</v>
      </c>
      <c r="K400" s="66" t="str">
        <f t="shared" si="2"/>
        <v>2026</v>
      </c>
      <c r="L400" s="69"/>
    </row>
    <row r="401" ht="22.5" hidden="1" customHeight="1">
      <c r="A401" s="70" t="s">
        <v>102</v>
      </c>
      <c r="B401" s="63" t="s">
        <v>87</v>
      </c>
      <c r="C401" s="175"/>
      <c r="D401" s="160">
        <v>46143.0</v>
      </c>
      <c r="E401" s="176"/>
      <c r="F401" s="84"/>
      <c r="G401" s="184"/>
      <c r="H401" s="185" t="s">
        <v>70</v>
      </c>
      <c r="I401" s="149" t="s">
        <v>276</v>
      </c>
      <c r="J401" s="73" t="str">
        <f t="shared" si="1"/>
        <v>05 - mayo</v>
      </c>
      <c r="K401" s="73" t="str">
        <f t="shared" si="2"/>
        <v>2026</v>
      </c>
      <c r="L401" s="80"/>
    </row>
    <row r="402" ht="22.5" hidden="1" customHeight="1">
      <c r="A402" s="62" t="s">
        <v>103</v>
      </c>
      <c r="B402" s="63" t="s">
        <v>87</v>
      </c>
      <c r="C402" s="157">
        <v>30000.0</v>
      </c>
      <c r="D402" s="65">
        <v>46143.0</v>
      </c>
      <c r="E402" s="65">
        <v>46143.0</v>
      </c>
      <c r="F402" s="87"/>
      <c r="G402" s="158" t="s">
        <v>206</v>
      </c>
      <c r="H402" s="67" t="s">
        <v>69</v>
      </c>
      <c r="I402" s="149" t="s">
        <v>276</v>
      </c>
      <c r="J402" s="66" t="str">
        <f t="shared" si="1"/>
        <v>05 - mayo</v>
      </c>
      <c r="K402" s="66" t="str">
        <f t="shared" si="2"/>
        <v>2026</v>
      </c>
      <c r="L402" s="69"/>
    </row>
    <row r="403" ht="22.5" hidden="1" customHeight="1">
      <c r="A403" s="70" t="s">
        <v>106</v>
      </c>
      <c r="B403" s="63" t="s">
        <v>87</v>
      </c>
      <c r="C403" s="175"/>
      <c r="D403" s="160">
        <v>46143.0</v>
      </c>
      <c r="E403" s="176"/>
      <c r="F403" s="84"/>
      <c r="G403" s="184"/>
      <c r="H403" s="185" t="s">
        <v>70</v>
      </c>
      <c r="I403" s="149" t="s">
        <v>276</v>
      </c>
      <c r="J403" s="73" t="str">
        <f t="shared" si="1"/>
        <v>05 - mayo</v>
      </c>
      <c r="K403" s="73" t="str">
        <f t="shared" si="2"/>
        <v>2026</v>
      </c>
      <c r="L403" s="80"/>
    </row>
    <row r="404" ht="22.5" hidden="1" customHeight="1">
      <c r="A404" s="62" t="s">
        <v>107</v>
      </c>
      <c r="B404" s="63" t="s">
        <v>87</v>
      </c>
      <c r="C404" s="93"/>
      <c r="D404" s="65">
        <v>46143.0</v>
      </c>
      <c r="E404" s="86"/>
      <c r="F404" s="87"/>
      <c r="G404" s="95"/>
      <c r="H404" s="115" t="s">
        <v>70</v>
      </c>
      <c r="I404" s="149" t="s">
        <v>276</v>
      </c>
      <c r="J404" s="66" t="str">
        <f t="shared" si="1"/>
        <v>05 - mayo</v>
      </c>
      <c r="K404" s="66" t="str">
        <f t="shared" si="2"/>
        <v>2026</v>
      </c>
      <c r="L404" s="69"/>
    </row>
    <row r="405" ht="22.5" hidden="1" customHeight="1">
      <c r="A405" s="70" t="s">
        <v>108</v>
      </c>
      <c r="B405" s="63" t="s">
        <v>87</v>
      </c>
      <c r="C405" s="159">
        <v>30000.0</v>
      </c>
      <c r="D405" s="160">
        <v>46143.0</v>
      </c>
      <c r="E405" s="160">
        <v>46143.0</v>
      </c>
      <c r="F405" s="84"/>
      <c r="G405" s="161" t="s">
        <v>206</v>
      </c>
      <c r="H405" s="162" t="s">
        <v>69</v>
      </c>
      <c r="I405" s="149" t="s">
        <v>276</v>
      </c>
      <c r="J405" s="73" t="str">
        <f t="shared" si="1"/>
        <v>05 - mayo</v>
      </c>
      <c r="K405" s="73" t="str">
        <f t="shared" si="2"/>
        <v>2026</v>
      </c>
      <c r="L405" s="80"/>
    </row>
    <row r="406" ht="22.5" hidden="1" customHeight="1">
      <c r="A406" s="62" t="s">
        <v>110</v>
      </c>
      <c r="B406" s="63" t="s">
        <v>87</v>
      </c>
      <c r="C406" s="93"/>
      <c r="D406" s="65">
        <v>46143.0</v>
      </c>
      <c r="E406" s="86"/>
      <c r="F406" s="87"/>
      <c r="G406" s="95"/>
      <c r="H406" s="115" t="s">
        <v>70</v>
      </c>
      <c r="I406" s="149" t="s">
        <v>276</v>
      </c>
      <c r="J406" s="66" t="str">
        <f t="shared" si="1"/>
        <v>05 - mayo</v>
      </c>
      <c r="K406" s="66" t="str">
        <f t="shared" si="2"/>
        <v>2026</v>
      </c>
      <c r="L406" s="69"/>
    </row>
    <row r="407" ht="22.5" hidden="1" customHeight="1">
      <c r="A407" s="70" t="s">
        <v>105</v>
      </c>
      <c r="B407" s="63" t="s">
        <v>87</v>
      </c>
      <c r="C407" s="175"/>
      <c r="D407" s="160">
        <v>46143.0</v>
      </c>
      <c r="E407" s="176"/>
      <c r="F407" s="84"/>
      <c r="G407" s="184"/>
      <c r="H407" s="185" t="s">
        <v>70</v>
      </c>
      <c r="I407" s="149" t="s">
        <v>276</v>
      </c>
      <c r="J407" s="73" t="str">
        <f t="shared" si="1"/>
        <v>05 - mayo</v>
      </c>
      <c r="K407" s="73" t="str">
        <f t="shared" si="2"/>
        <v>2026</v>
      </c>
      <c r="L407" s="80"/>
    </row>
    <row r="408" ht="22.5" hidden="1" customHeight="1">
      <c r="A408" s="68" t="s">
        <v>88</v>
      </c>
      <c r="B408" s="63" t="s">
        <v>87</v>
      </c>
      <c r="C408" s="93"/>
      <c r="D408" s="65">
        <v>46174.0</v>
      </c>
      <c r="E408" s="86"/>
      <c r="F408" s="87"/>
      <c r="G408" s="95"/>
      <c r="H408" s="115" t="s">
        <v>70</v>
      </c>
      <c r="I408" s="149" t="s">
        <v>276</v>
      </c>
      <c r="J408" s="66" t="str">
        <f t="shared" si="1"/>
        <v>06 - junio</v>
      </c>
      <c r="K408" s="66" t="str">
        <f t="shared" si="2"/>
        <v>2026</v>
      </c>
      <c r="L408" s="69"/>
    </row>
    <row r="409" ht="22.5" hidden="1" customHeight="1">
      <c r="A409" s="77" t="s">
        <v>93</v>
      </c>
      <c r="B409" s="63" t="s">
        <v>87</v>
      </c>
      <c r="C409" s="159">
        <v>30000.0</v>
      </c>
      <c r="D409" s="160">
        <v>46174.0</v>
      </c>
      <c r="E409" s="160">
        <v>46174.0</v>
      </c>
      <c r="F409" s="84"/>
      <c r="G409" s="161" t="s">
        <v>206</v>
      </c>
      <c r="H409" s="162" t="s">
        <v>69</v>
      </c>
      <c r="I409" s="149" t="s">
        <v>276</v>
      </c>
      <c r="J409" s="150" t="str">
        <f t="shared" si="1"/>
        <v>06 - junio</v>
      </c>
      <c r="K409" s="150" t="str">
        <f t="shared" si="2"/>
        <v>2026</v>
      </c>
      <c r="L409" s="80"/>
    </row>
    <row r="410" ht="22.5" hidden="1" customHeight="1">
      <c r="A410" s="68" t="s">
        <v>94</v>
      </c>
      <c r="B410" s="63" t="s">
        <v>87</v>
      </c>
      <c r="C410" s="157">
        <v>30000.0</v>
      </c>
      <c r="D410" s="65">
        <v>46174.0</v>
      </c>
      <c r="E410" s="65">
        <v>46174.0</v>
      </c>
      <c r="F410" s="87"/>
      <c r="G410" s="158" t="s">
        <v>206</v>
      </c>
      <c r="H410" s="67" t="s">
        <v>69</v>
      </c>
      <c r="I410" s="149" t="s">
        <v>276</v>
      </c>
      <c r="J410" s="66" t="str">
        <f t="shared" si="1"/>
        <v>06 - junio</v>
      </c>
      <c r="K410" s="66" t="str">
        <f t="shared" si="2"/>
        <v>2026</v>
      </c>
      <c r="L410" s="69"/>
    </row>
    <row r="411" ht="22.5" hidden="1" customHeight="1">
      <c r="A411" s="77" t="s">
        <v>96</v>
      </c>
      <c r="B411" s="63" t="s">
        <v>87</v>
      </c>
      <c r="C411" s="159">
        <v>30000.0</v>
      </c>
      <c r="D411" s="160">
        <v>46174.0</v>
      </c>
      <c r="E411" s="160">
        <v>46174.0</v>
      </c>
      <c r="F411" s="84"/>
      <c r="G411" s="161" t="s">
        <v>206</v>
      </c>
      <c r="H411" s="162" t="s">
        <v>69</v>
      </c>
      <c r="I411" s="149" t="s">
        <v>276</v>
      </c>
      <c r="J411" s="150" t="str">
        <f t="shared" si="1"/>
        <v>06 - junio</v>
      </c>
      <c r="K411" s="150" t="str">
        <f t="shared" si="2"/>
        <v>2026</v>
      </c>
      <c r="L411" s="80"/>
    </row>
    <row r="412" ht="22.5" hidden="1" customHeight="1">
      <c r="A412" s="152" t="s">
        <v>97</v>
      </c>
      <c r="B412" s="63" t="s">
        <v>87</v>
      </c>
      <c r="C412" s="157">
        <v>30000.0</v>
      </c>
      <c r="D412" s="65">
        <v>46174.0</v>
      </c>
      <c r="E412" s="65">
        <v>46174.0</v>
      </c>
      <c r="F412" s="165"/>
      <c r="G412" s="158" t="s">
        <v>206</v>
      </c>
      <c r="H412" s="67" t="s">
        <v>69</v>
      </c>
      <c r="I412" s="149" t="s">
        <v>276</v>
      </c>
      <c r="J412" s="66" t="str">
        <f t="shared" si="1"/>
        <v>06 - junio</v>
      </c>
      <c r="K412" s="66" t="str">
        <f t="shared" si="2"/>
        <v>2026</v>
      </c>
      <c r="L412" s="69"/>
    </row>
    <row r="413" ht="22.5" hidden="1" customHeight="1">
      <c r="A413" s="151" t="s">
        <v>98</v>
      </c>
      <c r="B413" s="63" t="s">
        <v>87</v>
      </c>
      <c r="C413" s="175"/>
      <c r="D413" s="160">
        <v>46174.0</v>
      </c>
      <c r="E413" s="176"/>
      <c r="F413" s="166"/>
      <c r="G413" s="184"/>
      <c r="H413" s="185" t="s">
        <v>70</v>
      </c>
      <c r="I413" s="149" t="s">
        <v>276</v>
      </c>
      <c r="J413" s="150" t="str">
        <f t="shared" si="1"/>
        <v>06 - junio</v>
      </c>
      <c r="K413" s="150" t="str">
        <f t="shared" si="2"/>
        <v>2026</v>
      </c>
      <c r="L413" s="80"/>
    </row>
    <row r="414" ht="22.5" hidden="1" customHeight="1">
      <c r="A414" s="152" t="s">
        <v>99</v>
      </c>
      <c r="B414" s="63" t="s">
        <v>87</v>
      </c>
      <c r="C414" s="157">
        <v>30000.0</v>
      </c>
      <c r="D414" s="65">
        <v>46174.0</v>
      </c>
      <c r="E414" s="65">
        <v>46174.0</v>
      </c>
      <c r="F414" s="165"/>
      <c r="G414" s="158" t="s">
        <v>206</v>
      </c>
      <c r="H414" s="67" t="s">
        <v>69</v>
      </c>
      <c r="I414" s="149" t="s">
        <v>276</v>
      </c>
      <c r="J414" s="66" t="str">
        <f t="shared" si="1"/>
        <v>06 - junio</v>
      </c>
      <c r="K414" s="66" t="str">
        <f t="shared" si="2"/>
        <v>2026</v>
      </c>
      <c r="L414" s="69"/>
    </row>
    <row r="415" ht="22.5" hidden="1" customHeight="1">
      <c r="A415" s="151" t="s">
        <v>100</v>
      </c>
      <c r="B415" s="63" t="s">
        <v>87</v>
      </c>
      <c r="C415" s="159">
        <v>30000.0</v>
      </c>
      <c r="D415" s="160">
        <v>46174.0</v>
      </c>
      <c r="E415" s="160">
        <v>46174.0</v>
      </c>
      <c r="F415" s="166"/>
      <c r="G415" s="161" t="s">
        <v>206</v>
      </c>
      <c r="H415" s="162" t="s">
        <v>69</v>
      </c>
      <c r="I415" s="149" t="s">
        <v>276</v>
      </c>
      <c r="J415" s="150" t="str">
        <f t="shared" si="1"/>
        <v>06 - junio</v>
      </c>
      <c r="K415" s="150" t="str">
        <f t="shared" si="2"/>
        <v>2026</v>
      </c>
      <c r="L415" s="80"/>
    </row>
    <row r="416" ht="22.5" hidden="1" customHeight="1">
      <c r="A416" s="167" t="s">
        <v>102</v>
      </c>
      <c r="B416" s="63" t="s">
        <v>87</v>
      </c>
      <c r="C416" s="93"/>
      <c r="D416" s="65">
        <v>46174.0</v>
      </c>
      <c r="E416" s="86"/>
      <c r="F416" s="165"/>
      <c r="G416" s="95"/>
      <c r="H416" s="115" t="s">
        <v>70</v>
      </c>
      <c r="I416" s="149" t="s">
        <v>276</v>
      </c>
      <c r="J416" s="168" t="str">
        <f t="shared" si="1"/>
        <v>06 - junio</v>
      </c>
      <c r="K416" s="168" t="str">
        <f t="shared" si="2"/>
        <v>2026</v>
      </c>
      <c r="L416" s="69"/>
    </row>
    <row r="417" ht="22.5" hidden="1" customHeight="1">
      <c r="A417" s="169" t="s">
        <v>103</v>
      </c>
      <c r="B417" s="63" t="s">
        <v>87</v>
      </c>
      <c r="C417" s="175"/>
      <c r="D417" s="160">
        <v>46174.0</v>
      </c>
      <c r="E417" s="176"/>
      <c r="F417" s="166"/>
      <c r="G417" s="184"/>
      <c r="H417" s="185" t="s">
        <v>70</v>
      </c>
      <c r="I417" s="149" t="s">
        <v>276</v>
      </c>
      <c r="J417" s="150" t="str">
        <f t="shared" si="1"/>
        <v>06 - junio</v>
      </c>
      <c r="K417" s="150" t="str">
        <f t="shared" si="2"/>
        <v>2026</v>
      </c>
      <c r="L417" s="80"/>
    </row>
    <row r="418" ht="22.5" hidden="1" customHeight="1">
      <c r="A418" s="167" t="s">
        <v>106</v>
      </c>
      <c r="B418" s="63" t="s">
        <v>87</v>
      </c>
      <c r="C418" s="93"/>
      <c r="D418" s="65">
        <v>46174.0</v>
      </c>
      <c r="E418" s="86"/>
      <c r="F418" s="165"/>
      <c r="G418" s="95"/>
      <c r="H418" s="115" t="s">
        <v>70</v>
      </c>
      <c r="I418" s="149" t="s">
        <v>276</v>
      </c>
      <c r="J418" s="168" t="str">
        <f t="shared" si="1"/>
        <v>06 - junio</v>
      </c>
      <c r="K418" s="168" t="str">
        <f t="shared" si="2"/>
        <v>2026</v>
      </c>
      <c r="L418" s="69"/>
    </row>
    <row r="419" ht="22.5" hidden="1" customHeight="1">
      <c r="A419" s="169" t="s">
        <v>107</v>
      </c>
      <c r="B419" s="63" t="s">
        <v>87</v>
      </c>
      <c r="C419" s="175"/>
      <c r="D419" s="160">
        <v>46174.0</v>
      </c>
      <c r="E419" s="176"/>
      <c r="F419" s="166"/>
      <c r="G419" s="184"/>
      <c r="H419" s="185" t="s">
        <v>70</v>
      </c>
      <c r="I419" s="149" t="s">
        <v>276</v>
      </c>
      <c r="J419" s="150" t="str">
        <f t="shared" si="1"/>
        <v>06 - junio</v>
      </c>
      <c r="K419" s="150" t="str">
        <f t="shared" si="2"/>
        <v>2026</v>
      </c>
      <c r="L419" s="80"/>
    </row>
    <row r="420" ht="22.5" hidden="1" customHeight="1">
      <c r="A420" s="167" t="s">
        <v>108</v>
      </c>
      <c r="B420" s="63" t="s">
        <v>87</v>
      </c>
      <c r="C420" s="157">
        <v>30000.0</v>
      </c>
      <c r="D420" s="65">
        <v>46174.0</v>
      </c>
      <c r="E420" s="65">
        <v>46174.0</v>
      </c>
      <c r="F420" s="165"/>
      <c r="G420" s="158" t="s">
        <v>206</v>
      </c>
      <c r="H420" s="67" t="s">
        <v>69</v>
      </c>
      <c r="I420" s="149" t="s">
        <v>276</v>
      </c>
      <c r="J420" s="168" t="str">
        <f t="shared" si="1"/>
        <v>06 - junio</v>
      </c>
      <c r="K420" s="168" t="str">
        <f t="shared" si="2"/>
        <v>2026</v>
      </c>
      <c r="L420" s="69"/>
    </row>
    <row r="421" ht="22.5" hidden="1" customHeight="1">
      <c r="A421" s="169" t="s">
        <v>110</v>
      </c>
      <c r="B421" s="63" t="s">
        <v>87</v>
      </c>
      <c r="C421" s="175"/>
      <c r="D421" s="160">
        <v>46174.0</v>
      </c>
      <c r="E421" s="176"/>
      <c r="F421" s="166"/>
      <c r="G421" s="184"/>
      <c r="H421" s="185" t="s">
        <v>70</v>
      </c>
      <c r="I421" s="149" t="s">
        <v>276</v>
      </c>
      <c r="J421" s="150" t="str">
        <f t="shared" si="1"/>
        <v>06 - junio</v>
      </c>
      <c r="K421" s="150" t="str">
        <f t="shared" si="2"/>
        <v>2026</v>
      </c>
      <c r="L421" s="80"/>
    </row>
    <row r="422" ht="22.5" hidden="1" customHeight="1">
      <c r="A422" s="167" t="s">
        <v>105</v>
      </c>
      <c r="B422" s="63" t="s">
        <v>87</v>
      </c>
      <c r="C422" s="93"/>
      <c r="D422" s="65">
        <v>46174.0</v>
      </c>
      <c r="E422" s="86"/>
      <c r="F422" s="165"/>
      <c r="G422" s="95"/>
      <c r="H422" s="115" t="s">
        <v>70</v>
      </c>
      <c r="I422" s="149" t="s">
        <v>276</v>
      </c>
      <c r="J422" s="168" t="str">
        <f t="shared" si="1"/>
        <v>06 - junio</v>
      </c>
      <c r="K422" s="168" t="str">
        <f t="shared" si="2"/>
        <v>2026</v>
      </c>
      <c r="L422" s="69"/>
    </row>
    <row r="423" ht="22.5" hidden="1" customHeight="1">
      <c r="A423" s="151" t="s">
        <v>88</v>
      </c>
      <c r="B423" s="63" t="s">
        <v>87</v>
      </c>
      <c r="C423" s="175"/>
      <c r="D423" s="160">
        <v>46204.0</v>
      </c>
      <c r="E423" s="176"/>
      <c r="F423" s="166"/>
      <c r="G423" s="184"/>
      <c r="H423" s="185" t="s">
        <v>70</v>
      </c>
      <c r="I423" s="149" t="s">
        <v>276</v>
      </c>
      <c r="J423" s="150" t="str">
        <f t="shared" si="1"/>
        <v>07 - julio</v>
      </c>
      <c r="K423" s="150" t="str">
        <f t="shared" si="2"/>
        <v>2026</v>
      </c>
      <c r="L423" s="80"/>
    </row>
    <row r="424" ht="22.5" hidden="1" customHeight="1">
      <c r="A424" s="152" t="s">
        <v>93</v>
      </c>
      <c r="B424" s="63" t="s">
        <v>87</v>
      </c>
      <c r="C424" s="93"/>
      <c r="D424" s="65">
        <v>46204.0</v>
      </c>
      <c r="E424" s="86"/>
      <c r="F424" s="165"/>
      <c r="G424" s="95"/>
      <c r="H424" s="115" t="s">
        <v>70</v>
      </c>
      <c r="I424" s="149" t="s">
        <v>276</v>
      </c>
      <c r="J424" s="66" t="str">
        <f t="shared" si="1"/>
        <v>07 - julio</v>
      </c>
      <c r="K424" s="66" t="str">
        <f t="shared" si="2"/>
        <v>2026</v>
      </c>
      <c r="L424" s="69"/>
    </row>
    <row r="425" ht="22.5" hidden="1" customHeight="1">
      <c r="A425" s="151" t="s">
        <v>94</v>
      </c>
      <c r="B425" s="63" t="s">
        <v>87</v>
      </c>
      <c r="C425" s="159">
        <v>30000.0</v>
      </c>
      <c r="D425" s="160">
        <v>46204.0</v>
      </c>
      <c r="E425" s="160">
        <v>46204.0</v>
      </c>
      <c r="F425" s="166"/>
      <c r="G425" s="161" t="s">
        <v>206</v>
      </c>
      <c r="H425" s="162" t="s">
        <v>69</v>
      </c>
      <c r="I425" s="149" t="s">
        <v>276</v>
      </c>
      <c r="J425" s="150" t="str">
        <f t="shared" si="1"/>
        <v>07 - julio</v>
      </c>
      <c r="K425" s="150" t="str">
        <f t="shared" si="2"/>
        <v>2026</v>
      </c>
      <c r="L425" s="80"/>
    </row>
    <row r="426" ht="22.5" hidden="1" customHeight="1">
      <c r="A426" s="152" t="s">
        <v>96</v>
      </c>
      <c r="B426" s="63" t="s">
        <v>87</v>
      </c>
      <c r="C426" s="157">
        <v>30000.0</v>
      </c>
      <c r="D426" s="65">
        <v>46204.0</v>
      </c>
      <c r="E426" s="65">
        <v>46204.0</v>
      </c>
      <c r="F426" s="165"/>
      <c r="G426" s="158" t="s">
        <v>206</v>
      </c>
      <c r="H426" s="67" t="s">
        <v>69</v>
      </c>
      <c r="I426" s="149" t="s">
        <v>276</v>
      </c>
      <c r="J426" s="66" t="str">
        <f t="shared" si="1"/>
        <v>07 - julio</v>
      </c>
      <c r="K426" s="66" t="str">
        <f t="shared" si="2"/>
        <v>2026</v>
      </c>
      <c r="L426" s="69"/>
    </row>
    <row r="427" ht="22.5" hidden="1" customHeight="1">
      <c r="A427" s="77" t="s">
        <v>97</v>
      </c>
      <c r="B427" s="63" t="s">
        <v>87</v>
      </c>
      <c r="C427" s="159">
        <v>30000.0</v>
      </c>
      <c r="D427" s="160">
        <v>46204.0</v>
      </c>
      <c r="E427" s="160">
        <v>46204.0</v>
      </c>
      <c r="F427" s="84"/>
      <c r="G427" s="161" t="s">
        <v>206</v>
      </c>
      <c r="H427" s="162" t="s">
        <v>69</v>
      </c>
      <c r="I427" s="149" t="s">
        <v>276</v>
      </c>
      <c r="J427" s="150" t="str">
        <f t="shared" si="1"/>
        <v>07 - julio</v>
      </c>
      <c r="K427" s="150" t="str">
        <f t="shared" si="2"/>
        <v>2026</v>
      </c>
      <c r="L427" s="80"/>
    </row>
    <row r="428" ht="22.5" hidden="1" customHeight="1">
      <c r="A428" s="68" t="s">
        <v>98</v>
      </c>
      <c r="B428" s="63" t="s">
        <v>87</v>
      </c>
      <c r="C428" s="93"/>
      <c r="D428" s="65">
        <v>46204.0</v>
      </c>
      <c r="E428" s="86"/>
      <c r="F428" s="87"/>
      <c r="G428" s="95"/>
      <c r="H428" s="115" t="s">
        <v>70</v>
      </c>
      <c r="I428" s="149" t="s">
        <v>276</v>
      </c>
      <c r="J428" s="66" t="str">
        <f t="shared" si="1"/>
        <v>07 - julio</v>
      </c>
      <c r="K428" s="66" t="str">
        <f t="shared" si="2"/>
        <v>2026</v>
      </c>
      <c r="L428" s="69"/>
    </row>
    <row r="429" ht="22.5" hidden="1" customHeight="1">
      <c r="A429" s="77" t="s">
        <v>99</v>
      </c>
      <c r="B429" s="63" t="s">
        <v>87</v>
      </c>
      <c r="C429" s="175"/>
      <c r="D429" s="160">
        <v>46204.0</v>
      </c>
      <c r="E429" s="176"/>
      <c r="F429" s="84"/>
      <c r="G429" s="184"/>
      <c r="H429" s="185" t="s">
        <v>70</v>
      </c>
      <c r="I429" s="149" t="s">
        <v>276</v>
      </c>
      <c r="J429" s="150" t="str">
        <f t="shared" si="1"/>
        <v>07 - julio</v>
      </c>
      <c r="K429" s="150" t="str">
        <f t="shared" si="2"/>
        <v>2026</v>
      </c>
      <c r="L429" s="80"/>
    </row>
    <row r="430" ht="22.5" hidden="1" customHeight="1">
      <c r="A430" s="68" t="s">
        <v>100</v>
      </c>
      <c r="B430" s="63" t="s">
        <v>87</v>
      </c>
      <c r="C430" s="157">
        <v>30000.0</v>
      </c>
      <c r="D430" s="65">
        <v>46204.0</v>
      </c>
      <c r="E430" s="65">
        <v>46204.0</v>
      </c>
      <c r="F430" s="87"/>
      <c r="G430" s="158" t="s">
        <v>206</v>
      </c>
      <c r="H430" s="67" t="s">
        <v>69</v>
      </c>
      <c r="I430" s="149" t="s">
        <v>276</v>
      </c>
      <c r="J430" s="66" t="str">
        <f t="shared" si="1"/>
        <v>07 - julio</v>
      </c>
      <c r="K430" s="66" t="str">
        <f t="shared" si="2"/>
        <v>2026</v>
      </c>
      <c r="L430" s="69"/>
    </row>
    <row r="431" ht="22.5" hidden="1" customHeight="1">
      <c r="A431" s="70" t="s">
        <v>102</v>
      </c>
      <c r="B431" s="63" t="s">
        <v>87</v>
      </c>
      <c r="C431" s="175"/>
      <c r="D431" s="160">
        <v>46204.0</v>
      </c>
      <c r="E431" s="176"/>
      <c r="F431" s="84"/>
      <c r="G431" s="184"/>
      <c r="H431" s="185" t="s">
        <v>70</v>
      </c>
      <c r="I431" s="149" t="s">
        <v>276</v>
      </c>
      <c r="J431" s="73" t="str">
        <f t="shared" si="1"/>
        <v>07 - julio</v>
      </c>
      <c r="K431" s="73" t="str">
        <f t="shared" si="2"/>
        <v>2026</v>
      </c>
      <c r="L431" s="80"/>
    </row>
    <row r="432" ht="22.5" hidden="1" customHeight="1">
      <c r="A432" s="62" t="s">
        <v>103</v>
      </c>
      <c r="B432" s="63" t="s">
        <v>87</v>
      </c>
      <c r="C432" s="93"/>
      <c r="D432" s="65">
        <v>46204.0</v>
      </c>
      <c r="E432" s="86"/>
      <c r="F432" s="87"/>
      <c r="G432" s="95"/>
      <c r="H432" s="115" t="s">
        <v>70</v>
      </c>
      <c r="I432" s="149" t="s">
        <v>276</v>
      </c>
      <c r="J432" s="66" t="str">
        <f t="shared" si="1"/>
        <v>07 - julio</v>
      </c>
      <c r="K432" s="66" t="str">
        <f t="shared" si="2"/>
        <v>2026</v>
      </c>
      <c r="L432" s="69"/>
    </row>
    <row r="433" ht="22.5" hidden="1" customHeight="1">
      <c r="A433" s="70" t="s">
        <v>106</v>
      </c>
      <c r="B433" s="63" t="s">
        <v>87</v>
      </c>
      <c r="C433" s="175"/>
      <c r="D433" s="160">
        <v>46204.0</v>
      </c>
      <c r="E433" s="176"/>
      <c r="F433" s="84"/>
      <c r="G433" s="184"/>
      <c r="H433" s="185" t="s">
        <v>70</v>
      </c>
      <c r="I433" s="149" t="s">
        <v>276</v>
      </c>
      <c r="J433" s="73" t="str">
        <f t="shared" si="1"/>
        <v>07 - julio</v>
      </c>
      <c r="K433" s="73" t="str">
        <f t="shared" si="2"/>
        <v>2026</v>
      </c>
      <c r="L433" s="80"/>
    </row>
    <row r="434" ht="22.5" hidden="1" customHeight="1">
      <c r="A434" s="62" t="s">
        <v>107</v>
      </c>
      <c r="B434" s="63" t="s">
        <v>87</v>
      </c>
      <c r="C434" s="93"/>
      <c r="D434" s="65">
        <v>46204.0</v>
      </c>
      <c r="E434" s="86"/>
      <c r="F434" s="87"/>
      <c r="G434" s="95"/>
      <c r="H434" s="115" t="s">
        <v>70</v>
      </c>
      <c r="I434" s="149" t="s">
        <v>276</v>
      </c>
      <c r="J434" s="66" t="str">
        <f t="shared" si="1"/>
        <v>07 - julio</v>
      </c>
      <c r="K434" s="66" t="str">
        <f t="shared" si="2"/>
        <v>2026</v>
      </c>
      <c r="L434" s="69"/>
    </row>
    <row r="435" ht="22.5" hidden="1" customHeight="1">
      <c r="A435" s="70" t="s">
        <v>108</v>
      </c>
      <c r="B435" s="63" t="s">
        <v>87</v>
      </c>
      <c r="C435" s="159">
        <v>30000.0</v>
      </c>
      <c r="D435" s="160">
        <v>46204.0</v>
      </c>
      <c r="E435" s="160">
        <v>46204.0</v>
      </c>
      <c r="F435" s="84"/>
      <c r="G435" s="161" t="s">
        <v>206</v>
      </c>
      <c r="H435" s="162" t="s">
        <v>69</v>
      </c>
      <c r="I435" s="149" t="s">
        <v>276</v>
      </c>
      <c r="J435" s="73" t="str">
        <f t="shared" si="1"/>
        <v>07 - julio</v>
      </c>
      <c r="K435" s="73" t="str">
        <f t="shared" si="2"/>
        <v>2026</v>
      </c>
      <c r="L435" s="80"/>
    </row>
    <row r="436" ht="22.5" hidden="1" customHeight="1">
      <c r="A436" s="62" t="s">
        <v>110</v>
      </c>
      <c r="B436" s="63" t="s">
        <v>87</v>
      </c>
      <c r="C436" s="93"/>
      <c r="D436" s="65">
        <v>46204.0</v>
      </c>
      <c r="E436" s="86"/>
      <c r="F436" s="87"/>
      <c r="G436" s="95"/>
      <c r="H436" s="115" t="s">
        <v>70</v>
      </c>
      <c r="I436" s="149" t="s">
        <v>276</v>
      </c>
      <c r="J436" s="66" t="str">
        <f t="shared" si="1"/>
        <v>07 - julio</v>
      </c>
      <c r="K436" s="66" t="str">
        <f t="shared" si="2"/>
        <v>2026</v>
      </c>
      <c r="L436" s="69"/>
    </row>
    <row r="437" ht="22.5" hidden="1" customHeight="1">
      <c r="A437" s="70" t="s">
        <v>105</v>
      </c>
      <c r="B437" s="63" t="s">
        <v>87</v>
      </c>
      <c r="C437" s="175"/>
      <c r="D437" s="160">
        <v>46204.0</v>
      </c>
      <c r="E437" s="176"/>
      <c r="F437" s="84"/>
      <c r="G437" s="184"/>
      <c r="H437" s="185" t="s">
        <v>70</v>
      </c>
      <c r="I437" s="149" t="s">
        <v>276</v>
      </c>
      <c r="J437" s="73" t="str">
        <f t="shared" si="1"/>
        <v>07 - julio</v>
      </c>
      <c r="K437" s="73" t="str">
        <f t="shared" si="2"/>
        <v>2026</v>
      </c>
      <c r="L437" s="80"/>
    </row>
    <row r="438" ht="22.5" hidden="1" customHeight="1">
      <c r="A438" s="68" t="s">
        <v>88</v>
      </c>
      <c r="B438" s="63" t="s">
        <v>87</v>
      </c>
      <c r="C438" s="93"/>
      <c r="D438" s="65">
        <v>46235.0</v>
      </c>
      <c r="E438" s="86"/>
      <c r="F438" s="87"/>
      <c r="G438" s="95"/>
      <c r="H438" s="115" t="s">
        <v>70</v>
      </c>
      <c r="I438" s="149" t="s">
        <v>276</v>
      </c>
      <c r="J438" s="66" t="str">
        <f t="shared" si="1"/>
        <v>08 - agosto</v>
      </c>
      <c r="K438" s="66" t="str">
        <f t="shared" si="2"/>
        <v>2026</v>
      </c>
      <c r="L438" s="69"/>
    </row>
    <row r="439" ht="22.5" hidden="1" customHeight="1">
      <c r="A439" s="77" t="s">
        <v>93</v>
      </c>
      <c r="B439" s="63" t="s">
        <v>87</v>
      </c>
      <c r="C439" s="159">
        <v>35000.0</v>
      </c>
      <c r="D439" s="160">
        <v>46235.0</v>
      </c>
      <c r="E439" s="160">
        <v>46235.0</v>
      </c>
      <c r="F439" s="84"/>
      <c r="G439" s="161" t="s">
        <v>206</v>
      </c>
      <c r="H439" s="162" t="s">
        <v>69</v>
      </c>
      <c r="I439" s="149" t="s">
        <v>276</v>
      </c>
      <c r="J439" s="150" t="str">
        <f t="shared" si="1"/>
        <v>08 - agosto</v>
      </c>
      <c r="K439" s="150" t="str">
        <f t="shared" si="2"/>
        <v>2026</v>
      </c>
      <c r="L439" s="80"/>
    </row>
    <row r="440" ht="22.5" hidden="1" customHeight="1">
      <c r="A440" s="68" t="s">
        <v>94</v>
      </c>
      <c r="B440" s="63" t="s">
        <v>87</v>
      </c>
      <c r="C440" s="157">
        <v>35000.0</v>
      </c>
      <c r="D440" s="65">
        <v>46235.0</v>
      </c>
      <c r="E440" s="65">
        <v>46235.0</v>
      </c>
      <c r="F440" s="87"/>
      <c r="G440" s="158" t="s">
        <v>206</v>
      </c>
      <c r="H440" s="67" t="s">
        <v>69</v>
      </c>
      <c r="I440" s="149" t="s">
        <v>276</v>
      </c>
      <c r="J440" s="66" t="str">
        <f t="shared" si="1"/>
        <v>08 - agosto</v>
      </c>
      <c r="K440" s="66" t="str">
        <f t="shared" si="2"/>
        <v>2026</v>
      </c>
      <c r="L440" s="69"/>
    </row>
    <row r="441" ht="22.5" hidden="1" customHeight="1">
      <c r="A441" s="77" t="s">
        <v>96</v>
      </c>
      <c r="B441" s="63" t="s">
        <v>87</v>
      </c>
      <c r="C441" s="159">
        <v>35000.0</v>
      </c>
      <c r="D441" s="160">
        <v>46235.0</v>
      </c>
      <c r="E441" s="160">
        <v>46235.0</v>
      </c>
      <c r="F441" s="84"/>
      <c r="G441" s="161" t="s">
        <v>206</v>
      </c>
      <c r="H441" s="162" t="s">
        <v>69</v>
      </c>
      <c r="I441" s="149" t="s">
        <v>276</v>
      </c>
      <c r="J441" s="150" t="str">
        <f t="shared" si="1"/>
        <v>08 - agosto</v>
      </c>
      <c r="K441" s="150" t="str">
        <f t="shared" si="2"/>
        <v>2026</v>
      </c>
      <c r="L441" s="80"/>
    </row>
    <row r="442" ht="22.5" hidden="1" customHeight="1">
      <c r="A442" s="152" t="s">
        <v>97</v>
      </c>
      <c r="B442" s="63" t="s">
        <v>87</v>
      </c>
      <c r="C442" s="157">
        <v>35000.0</v>
      </c>
      <c r="D442" s="65">
        <v>46235.0</v>
      </c>
      <c r="E442" s="65">
        <v>46235.0</v>
      </c>
      <c r="F442" s="165"/>
      <c r="G442" s="158" t="s">
        <v>206</v>
      </c>
      <c r="H442" s="67" t="s">
        <v>69</v>
      </c>
      <c r="I442" s="149" t="s">
        <v>276</v>
      </c>
      <c r="J442" s="66" t="str">
        <f t="shared" si="1"/>
        <v>08 - agosto</v>
      </c>
      <c r="K442" s="66" t="str">
        <f t="shared" si="2"/>
        <v>2026</v>
      </c>
      <c r="L442" s="69"/>
    </row>
    <row r="443" ht="22.5" hidden="1" customHeight="1">
      <c r="A443" s="151" t="s">
        <v>98</v>
      </c>
      <c r="B443" s="63" t="s">
        <v>87</v>
      </c>
      <c r="C443" s="175"/>
      <c r="D443" s="160">
        <v>46235.0</v>
      </c>
      <c r="E443" s="176"/>
      <c r="F443" s="166"/>
      <c r="G443" s="184"/>
      <c r="H443" s="185" t="s">
        <v>70</v>
      </c>
      <c r="I443" s="149" t="s">
        <v>276</v>
      </c>
      <c r="J443" s="150" t="str">
        <f t="shared" si="1"/>
        <v>08 - agosto</v>
      </c>
      <c r="K443" s="150" t="str">
        <f t="shared" si="2"/>
        <v>2026</v>
      </c>
      <c r="L443" s="80"/>
    </row>
    <row r="444" ht="22.5" hidden="1" customHeight="1">
      <c r="A444" s="152" t="s">
        <v>99</v>
      </c>
      <c r="B444" s="63" t="s">
        <v>87</v>
      </c>
      <c r="C444" s="93"/>
      <c r="D444" s="65">
        <v>46235.0</v>
      </c>
      <c r="E444" s="86"/>
      <c r="F444" s="165"/>
      <c r="G444" s="95"/>
      <c r="H444" s="115" t="s">
        <v>70</v>
      </c>
      <c r="I444" s="149" t="s">
        <v>276</v>
      </c>
      <c r="J444" s="66" t="str">
        <f t="shared" si="1"/>
        <v>08 - agosto</v>
      </c>
      <c r="K444" s="66" t="str">
        <f t="shared" si="2"/>
        <v>2026</v>
      </c>
      <c r="L444" s="69"/>
    </row>
    <row r="445" ht="22.5" hidden="1" customHeight="1">
      <c r="A445" s="151" t="s">
        <v>100</v>
      </c>
      <c r="B445" s="63" t="s">
        <v>87</v>
      </c>
      <c r="C445" s="159">
        <v>35000.0</v>
      </c>
      <c r="D445" s="160">
        <v>46235.0</v>
      </c>
      <c r="E445" s="160">
        <v>46235.0</v>
      </c>
      <c r="F445" s="166"/>
      <c r="G445" s="161" t="s">
        <v>206</v>
      </c>
      <c r="H445" s="162" t="s">
        <v>69</v>
      </c>
      <c r="I445" s="149" t="s">
        <v>276</v>
      </c>
      <c r="J445" s="150" t="str">
        <f t="shared" si="1"/>
        <v>08 - agosto</v>
      </c>
      <c r="K445" s="150" t="str">
        <f t="shared" si="2"/>
        <v>2026</v>
      </c>
      <c r="L445" s="80"/>
    </row>
    <row r="446" ht="22.5" hidden="1" customHeight="1">
      <c r="A446" s="167" t="s">
        <v>102</v>
      </c>
      <c r="B446" s="63" t="s">
        <v>87</v>
      </c>
      <c r="C446" s="93"/>
      <c r="D446" s="65">
        <v>46235.0</v>
      </c>
      <c r="E446" s="86"/>
      <c r="F446" s="165"/>
      <c r="G446" s="95"/>
      <c r="H446" s="115" t="s">
        <v>70</v>
      </c>
      <c r="I446" s="149" t="s">
        <v>276</v>
      </c>
      <c r="J446" s="168" t="str">
        <f t="shared" si="1"/>
        <v>08 - agosto</v>
      </c>
      <c r="K446" s="168" t="str">
        <f t="shared" si="2"/>
        <v>2026</v>
      </c>
      <c r="L446" s="69"/>
    </row>
    <row r="447" ht="22.5" hidden="1" customHeight="1">
      <c r="A447" s="169" t="s">
        <v>103</v>
      </c>
      <c r="B447" s="63" t="s">
        <v>87</v>
      </c>
      <c r="C447" s="175"/>
      <c r="D447" s="160">
        <v>46235.0</v>
      </c>
      <c r="E447" s="176"/>
      <c r="F447" s="166"/>
      <c r="G447" s="184"/>
      <c r="H447" s="185" t="s">
        <v>70</v>
      </c>
      <c r="I447" s="149" t="s">
        <v>276</v>
      </c>
      <c r="J447" s="150" t="str">
        <f t="shared" si="1"/>
        <v>08 - agosto</v>
      </c>
      <c r="K447" s="150" t="str">
        <f t="shared" si="2"/>
        <v>2026</v>
      </c>
      <c r="L447" s="80"/>
    </row>
    <row r="448" ht="22.5" hidden="1" customHeight="1">
      <c r="A448" s="167" t="s">
        <v>106</v>
      </c>
      <c r="B448" s="63" t="s">
        <v>87</v>
      </c>
      <c r="C448" s="93"/>
      <c r="D448" s="65">
        <v>46235.0</v>
      </c>
      <c r="E448" s="86"/>
      <c r="F448" s="165"/>
      <c r="G448" s="95"/>
      <c r="H448" s="115" t="s">
        <v>70</v>
      </c>
      <c r="I448" s="149" t="s">
        <v>276</v>
      </c>
      <c r="J448" s="168" t="str">
        <f t="shared" si="1"/>
        <v>08 - agosto</v>
      </c>
      <c r="K448" s="168" t="str">
        <f t="shared" si="2"/>
        <v>2026</v>
      </c>
      <c r="L448" s="69"/>
    </row>
    <row r="449" ht="22.5" hidden="1" customHeight="1">
      <c r="A449" s="169" t="s">
        <v>107</v>
      </c>
      <c r="B449" s="63" t="s">
        <v>87</v>
      </c>
      <c r="C449" s="175"/>
      <c r="D449" s="160">
        <v>46235.0</v>
      </c>
      <c r="E449" s="176"/>
      <c r="F449" s="166"/>
      <c r="G449" s="184"/>
      <c r="H449" s="185" t="s">
        <v>70</v>
      </c>
      <c r="I449" s="149" t="s">
        <v>276</v>
      </c>
      <c r="J449" s="150" t="str">
        <f t="shared" si="1"/>
        <v>08 - agosto</v>
      </c>
      <c r="K449" s="150" t="str">
        <f t="shared" si="2"/>
        <v>2026</v>
      </c>
      <c r="L449" s="80"/>
    </row>
    <row r="450" ht="22.5" hidden="1" customHeight="1">
      <c r="A450" s="167" t="s">
        <v>108</v>
      </c>
      <c r="B450" s="63" t="s">
        <v>87</v>
      </c>
      <c r="C450" s="157">
        <v>35000.0</v>
      </c>
      <c r="D450" s="65">
        <v>46235.0</v>
      </c>
      <c r="E450" s="65">
        <v>46235.0</v>
      </c>
      <c r="F450" s="165"/>
      <c r="G450" s="158" t="s">
        <v>206</v>
      </c>
      <c r="H450" s="67" t="s">
        <v>69</v>
      </c>
      <c r="I450" s="149" t="s">
        <v>276</v>
      </c>
      <c r="J450" s="168" t="str">
        <f t="shared" si="1"/>
        <v>08 - agosto</v>
      </c>
      <c r="K450" s="168" t="str">
        <f t="shared" si="2"/>
        <v>2026</v>
      </c>
      <c r="L450" s="69"/>
    </row>
    <row r="451" ht="22.5" hidden="1" customHeight="1">
      <c r="A451" s="169" t="s">
        <v>110</v>
      </c>
      <c r="B451" s="63" t="s">
        <v>87</v>
      </c>
      <c r="C451" s="175"/>
      <c r="D451" s="160">
        <v>46235.0</v>
      </c>
      <c r="E451" s="176"/>
      <c r="F451" s="166"/>
      <c r="G451" s="184"/>
      <c r="H451" s="185" t="s">
        <v>70</v>
      </c>
      <c r="I451" s="149" t="s">
        <v>276</v>
      </c>
      <c r="J451" s="150" t="str">
        <f t="shared" si="1"/>
        <v>08 - agosto</v>
      </c>
      <c r="K451" s="150" t="str">
        <f t="shared" si="2"/>
        <v>2026</v>
      </c>
      <c r="L451" s="80"/>
    </row>
    <row r="452" ht="22.5" hidden="1" customHeight="1">
      <c r="A452" s="167" t="s">
        <v>105</v>
      </c>
      <c r="B452" s="63" t="s">
        <v>87</v>
      </c>
      <c r="C452" s="157">
        <v>35000.0</v>
      </c>
      <c r="D452" s="65">
        <v>46235.0</v>
      </c>
      <c r="E452" s="65">
        <v>46235.0</v>
      </c>
      <c r="F452" s="165"/>
      <c r="G452" s="158" t="s">
        <v>206</v>
      </c>
      <c r="H452" s="67" t="s">
        <v>69</v>
      </c>
      <c r="I452" s="149" t="s">
        <v>276</v>
      </c>
      <c r="J452" s="168" t="str">
        <f t="shared" si="1"/>
        <v>08 - agosto</v>
      </c>
      <c r="K452" s="168" t="str">
        <f t="shared" si="2"/>
        <v>2026</v>
      </c>
      <c r="L452" s="69"/>
    </row>
    <row r="453" ht="22.5" hidden="1" customHeight="1">
      <c r="A453" s="151" t="s">
        <v>88</v>
      </c>
      <c r="B453" s="63" t="s">
        <v>87</v>
      </c>
      <c r="C453" s="175"/>
      <c r="D453" s="160">
        <v>46266.0</v>
      </c>
      <c r="E453" s="176"/>
      <c r="F453" s="166"/>
      <c r="G453" s="184"/>
      <c r="H453" s="185" t="s">
        <v>70</v>
      </c>
      <c r="I453" s="149" t="s">
        <v>276</v>
      </c>
      <c r="J453" s="150" t="str">
        <f t="shared" si="1"/>
        <v>09 - septiembre</v>
      </c>
      <c r="K453" s="150" t="str">
        <f t="shared" si="2"/>
        <v>2026</v>
      </c>
      <c r="L453" s="80"/>
    </row>
    <row r="454" ht="22.5" hidden="1" customHeight="1">
      <c r="A454" s="152" t="s">
        <v>93</v>
      </c>
      <c r="B454" s="63" t="s">
        <v>87</v>
      </c>
      <c r="C454" s="93"/>
      <c r="D454" s="65">
        <v>46266.0</v>
      </c>
      <c r="E454" s="86"/>
      <c r="F454" s="165"/>
      <c r="G454" s="95"/>
      <c r="H454" s="115" t="s">
        <v>70</v>
      </c>
      <c r="I454" s="149" t="s">
        <v>276</v>
      </c>
      <c r="J454" s="66" t="str">
        <f t="shared" si="1"/>
        <v>09 - septiembre</v>
      </c>
      <c r="K454" s="66" t="str">
        <f t="shared" si="2"/>
        <v>2026</v>
      </c>
      <c r="L454" s="69"/>
    </row>
    <row r="455" ht="22.5" hidden="1" customHeight="1">
      <c r="A455" s="151" t="s">
        <v>94</v>
      </c>
      <c r="B455" s="63" t="s">
        <v>87</v>
      </c>
      <c r="C455" s="159">
        <v>35000.0</v>
      </c>
      <c r="D455" s="160">
        <v>46266.0</v>
      </c>
      <c r="E455" s="160">
        <v>46266.0</v>
      </c>
      <c r="F455" s="166"/>
      <c r="G455" s="161" t="s">
        <v>206</v>
      </c>
      <c r="H455" s="162" t="s">
        <v>69</v>
      </c>
      <c r="I455" s="149" t="s">
        <v>276</v>
      </c>
      <c r="J455" s="150" t="str">
        <f t="shared" si="1"/>
        <v>09 - septiembre</v>
      </c>
      <c r="K455" s="150" t="str">
        <f t="shared" si="2"/>
        <v>2026</v>
      </c>
      <c r="L455" s="80"/>
    </row>
    <row r="456" ht="22.5" hidden="1" customHeight="1">
      <c r="A456" s="152" t="s">
        <v>96</v>
      </c>
      <c r="B456" s="63" t="s">
        <v>87</v>
      </c>
      <c r="C456" s="157">
        <v>35000.0</v>
      </c>
      <c r="D456" s="65">
        <v>46266.0</v>
      </c>
      <c r="E456" s="65">
        <v>46266.0</v>
      </c>
      <c r="F456" s="165"/>
      <c r="G456" s="158" t="s">
        <v>206</v>
      </c>
      <c r="H456" s="67" t="s">
        <v>69</v>
      </c>
      <c r="I456" s="149" t="s">
        <v>276</v>
      </c>
      <c r="J456" s="66" t="str">
        <f t="shared" si="1"/>
        <v>09 - septiembre</v>
      </c>
      <c r="K456" s="66" t="str">
        <f t="shared" si="2"/>
        <v>2026</v>
      </c>
      <c r="L456" s="69"/>
    </row>
    <row r="457" ht="22.5" hidden="1" customHeight="1">
      <c r="A457" s="77" t="s">
        <v>97</v>
      </c>
      <c r="B457" s="63" t="s">
        <v>87</v>
      </c>
      <c r="C457" s="159">
        <v>35000.0</v>
      </c>
      <c r="D457" s="160">
        <v>46266.0</v>
      </c>
      <c r="E457" s="160">
        <v>46266.0</v>
      </c>
      <c r="F457" s="84"/>
      <c r="G457" s="161" t="s">
        <v>206</v>
      </c>
      <c r="H457" s="162" t="s">
        <v>69</v>
      </c>
      <c r="I457" s="149" t="s">
        <v>276</v>
      </c>
      <c r="J457" s="150" t="str">
        <f t="shared" si="1"/>
        <v>09 - septiembre</v>
      </c>
      <c r="K457" s="150" t="str">
        <f t="shared" si="2"/>
        <v>2026</v>
      </c>
      <c r="L457" s="80"/>
    </row>
    <row r="458" ht="22.5" hidden="1" customHeight="1">
      <c r="A458" s="68" t="s">
        <v>98</v>
      </c>
      <c r="B458" s="63" t="s">
        <v>87</v>
      </c>
      <c r="C458" s="93"/>
      <c r="D458" s="65">
        <v>46266.0</v>
      </c>
      <c r="E458" s="86"/>
      <c r="F458" s="87"/>
      <c r="G458" s="95"/>
      <c r="H458" s="115" t="s">
        <v>70</v>
      </c>
      <c r="I458" s="149" t="s">
        <v>276</v>
      </c>
      <c r="J458" s="66" t="str">
        <f t="shared" si="1"/>
        <v>09 - septiembre</v>
      </c>
      <c r="K458" s="66" t="str">
        <f t="shared" si="2"/>
        <v>2026</v>
      </c>
      <c r="L458" s="69"/>
    </row>
    <row r="459" ht="22.5" hidden="1" customHeight="1">
      <c r="A459" s="77" t="s">
        <v>99</v>
      </c>
      <c r="B459" s="63" t="s">
        <v>87</v>
      </c>
      <c r="C459" s="175"/>
      <c r="D459" s="160">
        <v>46266.0</v>
      </c>
      <c r="E459" s="176"/>
      <c r="F459" s="84"/>
      <c r="G459" s="184"/>
      <c r="H459" s="185" t="s">
        <v>70</v>
      </c>
      <c r="I459" s="149" t="s">
        <v>276</v>
      </c>
      <c r="J459" s="150" t="str">
        <f t="shared" si="1"/>
        <v>09 - septiembre</v>
      </c>
      <c r="K459" s="150" t="str">
        <f t="shared" si="2"/>
        <v>2026</v>
      </c>
      <c r="L459" s="80"/>
    </row>
    <row r="460" ht="22.5" hidden="1" customHeight="1">
      <c r="A460" s="68" t="s">
        <v>100</v>
      </c>
      <c r="B460" s="63" t="s">
        <v>87</v>
      </c>
      <c r="C460" s="157">
        <v>35000.0</v>
      </c>
      <c r="D460" s="65">
        <v>46266.0</v>
      </c>
      <c r="E460" s="65">
        <v>46266.0</v>
      </c>
      <c r="F460" s="87"/>
      <c r="G460" s="158" t="s">
        <v>206</v>
      </c>
      <c r="H460" s="67" t="s">
        <v>69</v>
      </c>
      <c r="I460" s="149" t="s">
        <v>276</v>
      </c>
      <c r="J460" s="66" t="str">
        <f t="shared" si="1"/>
        <v>09 - septiembre</v>
      </c>
      <c r="K460" s="66" t="str">
        <f t="shared" si="2"/>
        <v>2026</v>
      </c>
      <c r="L460" s="69"/>
    </row>
    <row r="461" ht="22.5" hidden="1" customHeight="1">
      <c r="A461" s="70" t="s">
        <v>102</v>
      </c>
      <c r="B461" s="63" t="s">
        <v>87</v>
      </c>
      <c r="C461" s="175"/>
      <c r="D461" s="160">
        <v>46266.0</v>
      </c>
      <c r="E461" s="176"/>
      <c r="F461" s="84"/>
      <c r="G461" s="184"/>
      <c r="H461" s="185" t="s">
        <v>70</v>
      </c>
      <c r="I461" s="149" t="s">
        <v>276</v>
      </c>
      <c r="J461" s="73" t="str">
        <f t="shared" si="1"/>
        <v>09 - septiembre</v>
      </c>
      <c r="K461" s="73" t="str">
        <f t="shared" si="2"/>
        <v>2026</v>
      </c>
      <c r="L461" s="80"/>
    </row>
    <row r="462" ht="22.5" hidden="1" customHeight="1">
      <c r="A462" s="62" t="s">
        <v>103</v>
      </c>
      <c r="B462" s="63" t="s">
        <v>87</v>
      </c>
      <c r="C462" s="93"/>
      <c r="D462" s="65">
        <v>46266.0</v>
      </c>
      <c r="E462" s="86"/>
      <c r="F462" s="87"/>
      <c r="G462" s="95"/>
      <c r="H462" s="115" t="s">
        <v>70</v>
      </c>
      <c r="I462" s="149" t="s">
        <v>276</v>
      </c>
      <c r="J462" s="66" t="str">
        <f t="shared" si="1"/>
        <v>09 - septiembre</v>
      </c>
      <c r="K462" s="66" t="str">
        <f t="shared" si="2"/>
        <v>2026</v>
      </c>
      <c r="L462" s="69"/>
    </row>
    <row r="463" ht="22.5" hidden="1" customHeight="1">
      <c r="A463" s="70" t="s">
        <v>106</v>
      </c>
      <c r="B463" s="63" t="s">
        <v>87</v>
      </c>
      <c r="C463" s="175"/>
      <c r="D463" s="160">
        <v>46266.0</v>
      </c>
      <c r="E463" s="176"/>
      <c r="F463" s="84"/>
      <c r="G463" s="184"/>
      <c r="H463" s="185" t="s">
        <v>70</v>
      </c>
      <c r="I463" s="149" t="s">
        <v>276</v>
      </c>
      <c r="J463" s="73" t="str">
        <f t="shared" si="1"/>
        <v>09 - septiembre</v>
      </c>
      <c r="K463" s="73" t="str">
        <f t="shared" si="2"/>
        <v>2026</v>
      </c>
      <c r="L463" s="80"/>
    </row>
    <row r="464" ht="22.5" hidden="1" customHeight="1">
      <c r="A464" s="62" t="s">
        <v>107</v>
      </c>
      <c r="B464" s="63" t="s">
        <v>87</v>
      </c>
      <c r="C464" s="93"/>
      <c r="D464" s="65">
        <v>46266.0</v>
      </c>
      <c r="E464" s="86"/>
      <c r="F464" s="87"/>
      <c r="G464" s="95"/>
      <c r="H464" s="115" t="s">
        <v>70</v>
      </c>
      <c r="I464" s="149" t="s">
        <v>276</v>
      </c>
      <c r="J464" s="66" t="str">
        <f t="shared" si="1"/>
        <v>09 - septiembre</v>
      </c>
      <c r="K464" s="66" t="str">
        <f t="shared" si="2"/>
        <v>2026</v>
      </c>
      <c r="L464" s="69"/>
    </row>
    <row r="465" ht="22.5" hidden="1" customHeight="1">
      <c r="A465" s="70" t="s">
        <v>108</v>
      </c>
      <c r="B465" s="63" t="s">
        <v>87</v>
      </c>
      <c r="C465" s="159">
        <v>35000.0</v>
      </c>
      <c r="D465" s="160">
        <v>46266.0</v>
      </c>
      <c r="E465" s="160">
        <v>46266.0</v>
      </c>
      <c r="F465" s="84"/>
      <c r="G465" s="161" t="s">
        <v>206</v>
      </c>
      <c r="H465" s="162" t="s">
        <v>69</v>
      </c>
      <c r="I465" s="149" t="s">
        <v>276</v>
      </c>
      <c r="J465" s="73" t="str">
        <f t="shared" si="1"/>
        <v>09 - septiembre</v>
      </c>
      <c r="K465" s="73" t="str">
        <f t="shared" si="2"/>
        <v>2026</v>
      </c>
      <c r="L465" s="80"/>
    </row>
    <row r="466" ht="22.5" hidden="1" customHeight="1">
      <c r="A466" s="62" t="s">
        <v>110</v>
      </c>
      <c r="B466" s="63" t="s">
        <v>87</v>
      </c>
      <c r="C466" s="93"/>
      <c r="D466" s="65">
        <v>46266.0</v>
      </c>
      <c r="E466" s="86"/>
      <c r="F466" s="87"/>
      <c r="G466" s="95"/>
      <c r="H466" s="115" t="s">
        <v>70</v>
      </c>
      <c r="I466" s="149" t="s">
        <v>276</v>
      </c>
      <c r="J466" s="66" t="str">
        <f t="shared" si="1"/>
        <v>09 - septiembre</v>
      </c>
      <c r="K466" s="66" t="str">
        <f t="shared" si="2"/>
        <v>2026</v>
      </c>
      <c r="L466" s="69"/>
    </row>
    <row r="467" ht="22.5" hidden="1" customHeight="1">
      <c r="A467" s="70" t="s">
        <v>105</v>
      </c>
      <c r="B467" s="63" t="s">
        <v>87</v>
      </c>
      <c r="C467" s="159">
        <v>35000.0</v>
      </c>
      <c r="D467" s="160">
        <v>46266.0</v>
      </c>
      <c r="E467" s="160">
        <v>46266.0</v>
      </c>
      <c r="F467" s="84"/>
      <c r="G467" s="161" t="s">
        <v>206</v>
      </c>
      <c r="H467" s="162" t="s">
        <v>69</v>
      </c>
      <c r="I467" s="149" t="s">
        <v>276</v>
      </c>
      <c r="J467" s="73" t="str">
        <f t="shared" si="1"/>
        <v>09 - septiembre</v>
      </c>
      <c r="K467" s="73" t="str">
        <f t="shared" si="2"/>
        <v>2026</v>
      </c>
      <c r="L467" s="80"/>
    </row>
    <row r="468" ht="22.5" hidden="1" customHeight="1">
      <c r="A468" s="68" t="s">
        <v>88</v>
      </c>
      <c r="B468" s="63" t="s">
        <v>87</v>
      </c>
      <c r="C468" s="93"/>
      <c r="D468" s="65">
        <v>46296.0</v>
      </c>
      <c r="E468" s="86"/>
      <c r="F468" s="87"/>
      <c r="G468" s="95"/>
      <c r="H468" s="115" t="s">
        <v>70</v>
      </c>
      <c r="I468" s="149" t="s">
        <v>276</v>
      </c>
      <c r="J468" s="66" t="str">
        <f t="shared" si="1"/>
        <v>10 - octubre</v>
      </c>
      <c r="K468" s="66" t="str">
        <f t="shared" si="2"/>
        <v>2026</v>
      </c>
      <c r="L468" s="69"/>
    </row>
    <row r="469" ht="22.5" hidden="1" customHeight="1">
      <c r="A469" s="77" t="s">
        <v>93</v>
      </c>
      <c r="B469" s="63" t="s">
        <v>87</v>
      </c>
      <c r="C469" s="175"/>
      <c r="D469" s="160">
        <v>46296.0</v>
      </c>
      <c r="E469" s="176"/>
      <c r="F469" s="84"/>
      <c r="G469" s="184"/>
      <c r="H469" s="185" t="s">
        <v>70</v>
      </c>
      <c r="I469" s="149" t="s">
        <v>276</v>
      </c>
      <c r="J469" s="150" t="str">
        <f t="shared" si="1"/>
        <v>10 - octubre</v>
      </c>
      <c r="K469" s="150" t="str">
        <f t="shared" si="2"/>
        <v>2026</v>
      </c>
      <c r="L469" s="80"/>
    </row>
    <row r="470" ht="22.5" hidden="1" customHeight="1">
      <c r="A470" s="68" t="s">
        <v>94</v>
      </c>
      <c r="B470" s="63" t="s">
        <v>87</v>
      </c>
      <c r="C470" s="93"/>
      <c r="D470" s="65">
        <v>46296.0</v>
      </c>
      <c r="E470" s="86"/>
      <c r="F470" s="87"/>
      <c r="G470" s="95"/>
      <c r="H470" s="115" t="s">
        <v>70</v>
      </c>
      <c r="I470" s="149" t="s">
        <v>276</v>
      </c>
      <c r="J470" s="66" t="str">
        <f t="shared" si="1"/>
        <v>10 - octubre</v>
      </c>
      <c r="K470" s="66" t="str">
        <f t="shared" si="2"/>
        <v>2026</v>
      </c>
      <c r="L470" s="69"/>
    </row>
    <row r="471" ht="22.5" hidden="1" customHeight="1">
      <c r="A471" s="77" t="s">
        <v>96</v>
      </c>
      <c r="B471" s="63" t="s">
        <v>87</v>
      </c>
      <c r="C471" s="171">
        <v>35000.0</v>
      </c>
      <c r="D471" s="160">
        <v>46296.0</v>
      </c>
      <c r="E471" s="172">
        <v>46301.0</v>
      </c>
      <c r="F471" s="135" t="s">
        <v>26</v>
      </c>
      <c r="G471" s="186" t="s">
        <v>218</v>
      </c>
      <c r="H471" s="187" t="s">
        <v>69</v>
      </c>
      <c r="I471" s="149" t="s">
        <v>276</v>
      </c>
      <c r="J471" s="150" t="str">
        <f t="shared" si="1"/>
        <v>10 - octubre</v>
      </c>
      <c r="K471" s="150" t="str">
        <f t="shared" si="2"/>
        <v>2026</v>
      </c>
      <c r="L471" s="80"/>
    </row>
    <row r="472" ht="22.5" hidden="1" customHeight="1">
      <c r="A472" s="152" t="s">
        <v>97</v>
      </c>
      <c r="B472" s="63" t="s">
        <v>87</v>
      </c>
      <c r="C472" s="180">
        <v>35000.0</v>
      </c>
      <c r="D472" s="65">
        <v>46296.0</v>
      </c>
      <c r="E472" s="129">
        <v>46303.0</v>
      </c>
      <c r="F472" s="177" t="s">
        <v>26</v>
      </c>
      <c r="G472" s="130" t="s">
        <v>199</v>
      </c>
      <c r="H472" s="131" t="s">
        <v>69</v>
      </c>
      <c r="I472" s="149" t="s">
        <v>276</v>
      </c>
      <c r="J472" s="66" t="str">
        <f t="shared" si="1"/>
        <v>10 - octubre</v>
      </c>
      <c r="K472" s="66" t="str">
        <f t="shared" si="2"/>
        <v>2026</v>
      </c>
      <c r="L472" s="69"/>
    </row>
    <row r="473" ht="22.5" hidden="1" customHeight="1">
      <c r="A473" s="151" t="s">
        <v>98</v>
      </c>
      <c r="B473" s="63" t="s">
        <v>87</v>
      </c>
      <c r="C473" s="175"/>
      <c r="D473" s="160">
        <v>46296.0</v>
      </c>
      <c r="E473" s="176"/>
      <c r="F473" s="166"/>
      <c r="G473" s="184"/>
      <c r="H473" s="185" t="s">
        <v>70</v>
      </c>
      <c r="I473" s="149" t="s">
        <v>276</v>
      </c>
      <c r="J473" s="150" t="str">
        <f t="shared" si="1"/>
        <v>10 - octubre</v>
      </c>
      <c r="K473" s="150" t="str">
        <f t="shared" si="2"/>
        <v>2026</v>
      </c>
      <c r="L473" s="80"/>
    </row>
    <row r="474" ht="22.5" hidden="1" customHeight="1">
      <c r="A474" s="152" t="s">
        <v>99</v>
      </c>
      <c r="B474" s="63" t="s">
        <v>87</v>
      </c>
      <c r="C474" s="93"/>
      <c r="D474" s="65">
        <v>46296.0</v>
      </c>
      <c r="E474" s="86"/>
      <c r="F474" s="165"/>
      <c r="G474" s="95"/>
      <c r="H474" s="115" t="s">
        <v>70</v>
      </c>
      <c r="I474" s="149" t="s">
        <v>276</v>
      </c>
      <c r="J474" s="66" t="str">
        <f t="shared" si="1"/>
        <v>10 - octubre</v>
      </c>
      <c r="K474" s="66" t="str">
        <f t="shared" si="2"/>
        <v>2026</v>
      </c>
      <c r="L474" s="69"/>
    </row>
    <row r="475" ht="22.5" hidden="1" customHeight="1">
      <c r="A475" s="151" t="s">
        <v>100</v>
      </c>
      <c r="B475" s="63" t="s">
        <v>87</v>
      </c>
      <c r="C475" s="175"/>
      <c r="D475" s="160">
        <v>46296.0</v>
      </c>
      <c r="E475" s="176"/>
      <c r="F475" s="166"/>
      <c r="G475" s="184"/>
      <c r="H475" s="185" t="s">
        <v>70</v>
      </c>
      <c r="I475" s="149" t="s">
        <v>276</v>
      </c>
      <c r="J475" s="150" t="str">
        <f t="shared" si="1"/>
        <v>10 - octubre</v>
      </c>
      <c r="K475" s="150" t="str">
        <f t="shared" si="2"/>
        <v>2026</v>
      </c>
      <c r="L475" s="80"/>
    </row>
    <row r="476" ht="22.5" hidden="1" customHeight="1">
      <c r="A476" s="167" t="s">
        <v>102</v>
      </c>
      <c r="B476" s="63" t="s">
        <v>87</v>
      </c>
      <c r="C476" s="93"/>
      <c r="D476" s="65">
        <v>46296.0</v>
      </c>
      <c r="E476" s="86"/>
      <c r="F476" s="165"/>
      <c r="G476" s="95"/>
      <c r="H476" s="115" t="s">
        <v>70</v>
      </c>
      <c r="I476" s="149" t="s">
        <v>276</v>
      </c>
      <c r="J476" s="168" t="str">
        <f t="shared" si="1"/>
        <v>10 - octubre</v>
      </c>
      <c r="K476" s="168" t="str">
        <f t="shared" si="2"/>
        <v>2026</v>
      </c>
      <c r="L476" s="69"/>
    </row>
    <row r="477" ht="22.5" hidden="1" customHeight="1">
      <c r="A477" s="169" t="s">
        <v>103</v>
      </c>
      <c r="B477" s="63" t="s">
        <v>87</v>
      </c>
      <c r="C477" s="175"/>
      <c r="D477" s="160">
        <v>46296.0</v>
      </c>
      <c r="E477" s="176"/>
      <c r="F477" s="166"/>
      <c r="G477" s="184"/>
      <c r="H477" s="185" t="s">
        <v>70</v>
      </c>
      <c r="I477" s="149" t="s">
        <v>276</v>
      </c>
      <c r="J477" s="150" t="str">
        <f t="shared" si="1"/>
        <v>10 - octubre</v>
      </c>
      <c r="K477" s="150" t="str">
        <f t="shared" si="2"/>
        <v>2026</v>
      </c>
      <c r="L477" s="80"/>
    </row>
    <row r="478" ht="22.5" hidden="1" customHeight="1">
      <c r="A478" s="167" t="s">
        <v>106</v>
      </c>
      <c r="B478" s="63" t="s">
        <v>87</v>
      </c>
      <c r="C478" s="93"/>
      <c r="D478" s="65">
        <v>46296.0</v>
      </c>
      <c r="E478" s="86"/>
      <c r="F478" s="165"/>
      <c r="G478" s="95"/>
      <c r="H478" s="115" t="s">
        <v>70</v>
      </c>
      <c r="I478" s="149" t="s">
        <v>276</v>
      </c>
      <c r="J478" s="168" t="str">
        <f t="shared" si="1"/>
        <v>10 - octubre</v>
      </c>
      <c r="K478" s="168" t="str">
        <f t="shared" si="2"/>
        <v>2026</v>
      </c>
      <c r="L478" s="69"/>
    </row>
    <row r="479" ht="22.5" hidden="1" customHeight="1">
      <c r="A479" s="169" t="s">
        <v>107</v>
      </c>
      <c r="B479" s="63" t="s">
        <v>87</v>
      </c>
      <c r="C479" s="175"/>
      <c r="D479" s="160">
        <v>46296.0</v>
      </c>
      <c r="E479" s="176"/>
      <c r="F479" s="166"/>
      <c r="G479" s="184"/>
      <c r="H479" s="185" t="s">
        <v>70</v>
      </c>
      <c r="I479" s="149" t="s">
        <v>276</v>
      </c>
      <c r="J479" s="150" t="str">
        <f t="shared" si="1"/>
        <v>10 - octubre</v>
      </c>
      <c r="K479" s="150" t="str">
        <f t="shared" si="2"/>
        <v>2026</v>
      </c>
      <c r="L479" s="80"/>
    </row>
    <row r="480" ht="22.5" hidden="1" customHeight="1">
      <c r="A480" s="167" t="s">
        <v>108</v>
      </c>
      <c r="B480" s="63" t="s">
        <v>87</v>
      </c>
      <c r="C480" s="93"/>
      <c r="D480" s="65">
        <v>46296.0</v>
      </c>
      <c r="E480" s="86"/>
      <c r="F480" s="165"/>
      <c r="G480" s="95"/>
      <c r="H480" s="115" t="s">
        <v>70</v>
      </c>
      <c r="I480" s="149" t="s">
        <v>276</v>
      </c>
      <c r="J480" s="168" t="str">
        <f t="shared" si="1"/>
        <v>10 - octubre</v>
      </c>
      <c r="K480" s="168" t="str">
        <f t="shared" si="2"/>
        <v>2026</v>
      </c>
      <c r="L480" s="69"/>
    </row>
    <row r="481" ht="22.5" hidden="1" customHeight="1">
      <c r="A481" s="169" t="s">
        <v>110</v>
      </c>
      <c r="B481" s="63" t="s">
        <v>87</v>
      </c>
      <c r="C481" s="175"/>
      <c r="D481" s="160">
        <v>46296.0</v>
      </c>
      <c r="E481" s="176"/>
      <c r="F481" s="166"/>
      <c r="G481" s="184"/>
      <c r="H481" s="185" t="s">
        <v>70</v>
      </c>
      <c r="I481" s="149" t="s">
        <v>276</v>
      </c>
      <c r="J481" s="150" t="str">
        <f t="shared" si="1"/>
        <v>10 - octubre</v>
      </c>
      <c r="K481" s="150" t="str">
        <f t="shared" si="2"/>
        <v>2026</v>
      </c>
      <c r="L481" s="80"/>
    </row>
    <row r="482" ht="22.5" hidden="1" customHeight="1">
      <c r="A482" s="167" t="s">
        <v>105</v>
      </c>
      <c r="B482" s="63" t="s">
        <v>87</v>
      </c>
      <c r="C482" s="93"/>
      <c r="D482" s="65">
        <v>46296.0</v>
      </c>
      <c r="E482" s="86"/>
      <c r="F482" s="165"/>
      <c r="G482" s="95"/>
      <c r="H482" s="115" t="s">
        <v>70</v>
      </c>
      <c r="I482" s="149" t="s">
        <v>276</v>
      </c>
      <c r="J482" s="168" t="str">
        <f t="shared" si="1"/>
        <v>10 - octubre</v>
      </c>
      <c r="K482" s="168" t="str">
        <f t="shared" si="2"/>
        <v>2026</v>
      </c>
      <c r="L482" s="148"/>
    </row>
    <row r="483" ht="22.5" hidden="1" customHeight="1">
      <c r="A483" s="68" t="s">
        <v>66</v>
      </c>
      <c r="B483" s="63" t="s">
        <v>64</v>
      </c>
      <c r="C483" s="188">
        <v>25000.0</v>
      </c>
      <c r="D483" s="65">
        <v>46054.0</v>
      </c>
      <c r="E483" s="65">
        <v>46054.0</v>
      </c>
      <c r="F483" s="87"/>
      <c r="G483" s="158" t="s">
        <v>206</v>
      </c>
      <c r="H483" s="67" t="s">
        <v>69</v>
      </c>
      <c r="I483" s="124" t="s">
        <v>273</v>
      </c>
      <c r="J483" s="66" t="str">
        <f t="shared" si="1"/>
        <v>02 - febrero</v>
      </c>
      <c r="K483" s="66" t="str">
        <f t="shared" si="2"/>
        <v>2026</v>
      </c>
      <c r="L483" s="69"/>
    </row>
    <row r="484" ht="22.5" hidden="1" customHeight="1">
      <c r="A484" s="77" t="s">
        <v>72</v>
      </c>
      <c r="B484" s="63" t="s">
        <v>64</v>
      </c>
      <c r="C484" s="189">
        <v>25000.0</v>
      </c>
      <c r="D484" s="160">
        <v>46054.0</v>
      </c>
      <c r="E484" s="160">
        <v>46054.0</v>
      </c>
      <c r="F484" s="84"/>
      <c r="G484" s="161" t="s">
        <v>206</v>
      </c>
      <c r="H484" s="162" t="s">
        <v>69</v>
      </c>
      <c r="I484" s="124" t="s">
        <v>273</v>
      </c>
      <c r="J484" s="150" t="str">
        <f t="shared" si="1"/>
        <v>02 - febrero</v>
      </c>
      <c r="K484" s="150" t="str">
        <f t="shared" si="2"/>
        <v>2026</v>
      </c>
      <c r="L484" s="80"/>
    </row>
    <row r="485" ht="22.5" hidden="1" customHeight="1">
      <c r="A485" s="68" t="s">
        <v>74</v>
      </c>
      <c r="B485" s="63" t="s">
        <v>64</v>
      </c>
      <c r="C485" s="190"/>
      <c r="D485" s="65">
        <v>46054.0</v>
      </c>
      <c r="E485" s="86"/>
      <c r="F485" s="87"/>
      <c r="G485" s="95"/>
      <c r="H485" s="115" t="s">
        <v>70</v>
      </c>
      <c r="I485" s="124" t="s">
        <v>273</v>
      </c>
      <c r="J485" s="66" t="str">
        <f t="shared" si="1"/>
        <v>02 - febrero</v>
      </c>
      <c r="K485" s="66" t="str">
        <f t="shared" si="2"/>
        <v>2026</v>
      </c>
      <c r="L485" s="69"/>
    </row>
    <row r="486" ht="22.5" hidden="1" customHeight="1">
      <c r="A486" s="77" t="s">
        <v>75</v>
      </c>
      <c r="B486" s="63" t="s">
        <v>64</v>
      </c>
      <c r="C486" s="189">
        <v>25000.0</v>
      </c>
      <c r="D486" s="160">
        <v>46054.0</v>
      </c>
      <c r="E486" s="160">
        <v>46054.0</v>
      </c>
      <c r="F486" s="84"/>
      <c r="G486" s="161" t="s">
        <v>206</v>
      </c>
      <c r="H486" s="162" t="s">
        <v>69</v>
      </c>
      <c r="I486" s="124" t="s">
        <v>273</v>
      </c>
      <c r="J486" s="150" t="str">
        <f t="shared" si="1"/>
        <v>02 - febrero</v>
      </c>
      <c r="K486" s="150" t="str">
        <f t="shared" si="2"/>
        <v>2026</v>
      </c>
      <c r="L486" s="80"/>
    </row>
    <row r="487" ht="22.5" hidden="1" customHeight="1">
      <c r="A487" s="68" t="s">
        <v>76</v>
      </c>
      <c r="B487" s="63" t="s">
        <v>64</v>
      </c>
      <c r="C487" s="190"/>
      <c r="D487" s="65">
        <v>46054.0</v>
      </c>
      <c r="E487" s="86"/>
      <c r="F487" s="165"/>
      <c r="G487" s="95"/>
      <c r="H487" s="115" t="s">
        <v>70</v>
      </c>
      <c r="I487" s="124" t="s">
        <v>273</v>
      </c>
      <c r="J487" s="66" t="str">
        <f t="shared" si="1"/>
        <v>02 - febrero</v>
      </c>
      <c r="K487" s="66" t="str">
        <f t="shared" si="2"/>
        <v>2026</v>
      </c>
      <c r="L487" s="69"/>
    </row>
    <row r="488" ht="22.5" hidden="1" customHeight="1">
      <c r="A488" s="77" t="s">
        <v>78</v>
      </c>
      <c r="B488" s="63" t="s">
        <v>64</v>
      </c>
      <c r="C488" s="189">
        <v>25000.0</v>
      </c>
      <c r="D488" s="160">
        <v>46054.0</v>
      </c>
      <c r="E488" s="160">
        <v>46054.0</v>
      </c>
      <c r="F488" s="166"/>
      <c r="G488" s="161" t="s">
        <v>206</v>
      </c>
      <c r="H488" s="162" t="s">
        <v>69</v>
      </c>
      <c r="I488" s="124" t="s">
        <v>273</v>
      </c>
      <c r="J488" s="150" t="str">
        <f t="shared" si="1"/>
        <v>02 - febrero</v>
      </c>
      <c r="K488" s="150" t="str">
        <f t="shared" si="2"/>
        <v>2026</v>
      </c>
      <c r="L488" s="80"/>
    </row>
    <row r="489" ht="22.5" hidden="1" customHeight="1">
      <c r="A489" s="68" t="s">
        <v>80</v>
      </c>
      <c r="B489" s="63" t="s">
        <v>64</v>
      </c>
      <c r="C489" s="188">
        <v>25000.0</v>
      </c>
      <c r="D489" s="65">
        <v>46054.0</v>
      </c>
      <c r="E489" s="65">
        <v>46054.0</v>
      </c>
      <c r="F489" s="165"/>
      <c r="G489" s="158" t="s">
        <v>206</v>
      </c>
      <c r="H489" s="67" t="s">
        <v>69</v>
      </c>
      <c r="I489" s="124" t="s">
        <v>273</v>
      </c>
      <c r="J489" s="66" t="str">
        <f t="shared" si="1"/>
        <v>02 - febrero</v>
      </c>
      <c r="K489" s="66" t="str">
        <f t="shared" si="2"/>
        <v>2026</v>
      </c>
      <c r="L489" s="69"/>
    </row>
    <row r="490" ht="22.5" hidden="1" customHeight="1">
      <c r="A490" s="77" t="s">
        <v>81</v>
      </c>
      <c r="B490" s="63" t="s">
        <v>64</v>
      </c>
      <c r="C490" s="191"/>
      <c r="D490" s="160">
        <v>46054.0</v>
      </c>
      <c r="E490" s="176"/>
      <c r="F490" s="166"/>
      <c r="G490" s="184"/>
      <c r="H490" s="185" t="s">
        <v>70</v>
      </c>
      <c r="I490" s="124" t="s">
        <v>273</v>
      </c>
      <c r="J490" s="150" t="str">
        <f t="shared" si="1"/>
        <v>02 - febrero</v>
      </c>
      <c r="K490" s="150" t="str">
        <f t="shared" si="2"/>
        <v>2026</v>
      </c>
      <c r="L490" s="80"/>
    </row>
    <row r="491" ht="22.5" hidden="1" customHeight="1">
      <c r="A491" s="68" t="s">
        <v>82</v>
      </c>
      <c r="B491" s="63" t="s">
        <v>64</v>
      </c>
      <c r="C491" s="188">
        <v>25000.0</v>
      </c>
      <c r="D491" s="65">
        <v>46054.0</v>
      </c>
      <c r="E491" s="65">
        <v>46054.0</v>
      </c>
      <c r="F491" s="165"/>
      <c r="G491" s="158" t="s">
        <v>206</v>
      </c>
      <c r="H491" s="67" t="s">
        <v>69</v>
      </c>
      <c r="I491" s="124" t="s">
        <v>273</v>
      </c>
      <c r="J491" s="168" t="str">
        <f t="shared" si="1"/>
        <v>02 - febrero</v>
      </c>
      <c r="K491" s="168" t="str">
        <f t="shared" si="2"/>
        <v>2026</v>
      </c>
      <c r="L491" s="69"/>
    </row>
    <row r="492" ht="22.5" hidden="1" customHeight="1">
      <c r="A492" s="77" t="s">
        <v>85</v>
      </c>
      <c r="B492" s="63" t="s">
        <v>64</v>
      </c>
      <c r="C492" s="191"/>
      <c r="D492" s="160">
        <v>46054.0</v>
      </c>
      <c r="E492" s="176"/>
      <c r="F492" s="166"/>
      <c r="G492" s="184"/>
      <c r="H492" s="185" t="s">
        <v>70</v>
      </c>
      <c r="I492" s="124" t="s">
        <v>273</v>
      </c>
      <c r="J492" s="150" t="str">
        <f t="shared" si="1"/>
        <v>02 - febrero</v>
      </c>
      <c r="K492" s="150" t="str">
        <f t="shared" si="2"/>
        <v>2026</v>
      </c>
      <c r="L492" s="80"/>
    </row>
    <row r="493" ht="22.5" hidden="1" customHeight="1">
      <c r="A493" s="68" t="s">
        <v>66</v>
      </c>
      <c r="B493" s="63" t="s">
        <v>64</v>
      </c>
      <c r="C493" s="157">
        <v>30000.0</v>
      </c>
      <c r="D493" s="65">
        <v>46082.0</v>
      </c>
      <c r="E493" s="65">
        <v>46082.0</v>
      </c>
      <c r="F493" s="87"/>
      <c r="G493" s="158" t="s">
        <v>206</v>
      </c>
      <c r="H493" s="67" t="s">
        <v>69</v>
      </c>
      <c r="I493" s="124" t="s">
        <v>273</v>
      </c>
      <c r="J493" s="66" t="str">
        <f t="shared" si="1"/>
        <v>03 - marzo</v>
      </c>
      <c r="K493" s="66" t="str">
        <f t="shared" si="2"/>
        <v>2026</v>
      </c>
      <c r="L493" s="69"/>
    </row>
    <row r="494" ht="22.5" hidden="1" customHeight="1">
      <c r="A494" s="77" t="s">
        <v>72</v>
      </c>
      <c r="B494" s="63" t="s">
        <v>64</v>
      </c>
      <c r="C494" s="159">
        <v>30000.0</v>
      </c>
      <c r="D494" s="160">
        <v>46082.0</v>
      </c>
      <c r="E494" s="160">
        <v>46082.0</v>
      </c>
      <c r="F494" s="84"/>
      <c r="G494" s="161" t="s">
        <v>206</v>
      </c>
      <c r="H494" s="162" t="s">
        <v>69</v>
      </c>
      <c r="I494" s="124" t="s">
        <v>273</v>
      </c>
      <c r="J494" s="150" t="str">
        <f t="shared" si="1"/>
        <v>03 - marzo</v>
      </c>
      <c r="K494" s="150" t="str">
        <f t="shared" si="2"/>
        <v>2026</v>
      </c>
      <c r="L494" s="80"/>
    </row>
    <row r="495" ht="22.5" hidden="1" customHeight="1">
      <c r="A495" s="68" t="s">
        <v>74</v>
      </c>
      <c r="B495" s="63" t="s">
        <v>64</v>
      </c>
      <c r="C495" s="157">
        <v>30000.0</v>
      </c>
      <c r="D495" s="65">
        <v>46082.0</v>
      </c>
      <c r="E495" s="65">
        <v>46082.0</v>
      </c>
      <c r="F495" s="87"/>
      <c r="G495" s="158" t="s">
        <v>206</v>
      </c>
      <c r="H495" s="67" t="s">
        <v>69</v>
      </c>
      <c r="I495" s="124" t="s">
        <v>273</v>
      </c>
      <c r="J495" s="66" t="str">
        <f t="shared" si="1"/>
        <v>03 - marzo</v>
      </c>
      <c r="K495" s="66" t="str">
        <f t="shared" si="2"/>
        <v>2026</v>
      </c>
      <c r="L495" s="69"/>
    </row>
    <row r="496" ht="22.5" hidden="1" customHeight="1">
      <c r="A496" s="77" t="s">
        <v>75</v>
      </c>
      <c r="B496" s="63" t="s">
        <v>64</v>
      </c>
      <c r="C496" s="159">
        <v>30000.0</v>
      </c>
      <c r="D496" s="160">
        <v>46082.0</v>
      </c>
      <c r="E496" s="160">
        <v>46082.0</v>
      </c>
      <c r="F496" s="84"/>
      <c r="G496" s="161" t="s">
        <v>206</v>
      </c>
      <c r="H496" s="162" t="s">
        <v>69</v>
      </c>
      <c r="I496" s="124" t="s">
        <v>273</v>
      </c>
      <c r="J496" s="150" t="str">
        <f t="shared" si="1"/>
        <v>03 - marzo</v>
      </c>
      <c r="K496" s="150" t="str">
        <f t="shared" si="2"/>
        <v>2026</v>
      </c>
      <c r="L496" s="80"/>
    </row>
    <row r="497" ht="22.5" hidden="1" customHeight="1">
      <c r="A497" s="68" t="s">
        <v>76</v>
      </c>
      <c r="B497" s="63" t="s">
        <v>64</v>
      </c>
      <c r="C497" s="157">
        <v>30000.0</v>
      </c>
      <c r="D497" s="65">
        <v>46082.0</v>
      </c>
      <c r="E497" s="65">
        <v>46082.0</v>
      </c>
      <c r="F497" s="165"/>
      <c r="G497" s="158" t="s">
        <v>206</v>
      </c>
      <c r="H497" s="67" t="s">
        <v>69</v>
      </c>
      <c r="I497" s="124" t="s">
        <v>273</v>
      </c>
      <c r="J497" s="66" t="str">
        <f t="shared" si="1"/>
        <v>03 - marzo</v>
      </c>
      <c r="K497" s="66" t="str">
        <f t="shared" si="2"/>
        <v>2026</v>
      </c>
      <c r="L497" s="69"/>
    </row>
    <row r="498" ht="22.5" hidden="1" customHeight="1">
      <c r="A498" s="77" t="s">
        <v>78</v>
      </c>
      <c r="B498" s="63" t="s">
        <v>64</v>
      </c>
      <c r="C498" s="159">
        <v>30000.0</v>
      </c>
      <c r="D498" s="160">
        <v>46082.0</v>
      </c>
      <c r="E498" s="160">
        <v>46082.0</v>
      </c>
      <c r="F498" s="166"/>
      <c r="G498" s="161" t="s">
        <v>206</v>
      </c>
      <c r="H498" s="162" t="s">
        <v>69</v>
      </c>
      <c r="I498" s="124" t="s">
        <v>273</v>
      </c>
      <c r="J498" s="150" t="str">
        <f t="shared" si="1"/>
        <v>03 - marzo</v>
      </c>
      <c r="K498" s="150" t="str">
        <f t="shared" si="2"/>
        <v>2026</v>
      </c>
      <c r="L498" s="80"/>
    </row>
    <row r="499" ht="22.5" hidden="1" customHeight="1">
      <c r="A499" s="68" t="s">
        <v>80</v>
      </c>
      <c r="B499" s="63" t="s">
        <v>64</v>
      </c>
      <c r="C499" s="157">
        <v>30000.0</v>
      </c>
      <c r="D499" s="65">
        <v>46082.0</v>
      </c>
      <c r="E499" s="65">
        <v>46082.0</v>
      </c>
      <c r="F499" s="165"/>
      <c r="G499" s="158" t="s">
        <v>206</v>
      </c>
      <c r="H499" s="67" t="s">
        <v>69</v>
      </c>
      <c r="I499" s="124" t="s">
        <v>273</v>
      </c>
      <c r="J499" s="66" t="str">
        <f t="shared" si="1"/>
        <v>03 - marzo</v>
      </c>
      <c r="K499" s="66" t="str">
        <f t="shared" si="2"/>
        <v>2026</v>
      </c>
      <c r="L499" s="69"/>
    </row>
    <row r="500" ht="22.5" hidden="1" customHeight="1">
      <c r="A500" s="77" t="s">
        <v>81</v>
      </c>
      <c r="B500" s="63" t="s">
        <v>64</v>
      </c>
      <c r="C500" s="175"/>
      <c r="D500" s="160">
        <v>46082.0</v>
      </c>
      <c r="E500" s="176"/>
      <c r="F500" s="166"/>
      <c r="G500" s="184"/>
      <c r="H500" s="185" t="s">
        <v>70</v>
      </c>
      <c r="I500" s="124" t="s">
        <v>273</v>
      </c>
      <c r="J500" s="150" t="str">
        <f t="shared" si="1"/>
        <v>03 - marzo</v>
      </c>
      <c r="K500" s="150" t="str">
        <f t="shared" si="2"/>
        <v>2026</v>
      </c>
      <c r="L500" s="80"/>
    </row>
    <row r="501" ht="22.5" hidden="1" customHeight="1">
      <c r="A501" s="68" t="s">
        <v>82</v>
      </c>
      <c r="B501" s="63" t="s">
        <v>64</v>
      </c>
      <c r="C501" s="157">
        <v>30000.0</v>
      </c>
      <c r="D501" s="65">
        <v>46082.0</v>
      </c>
      <c r="E501" s="65">
        <v>46082.0</v>
      </c>
      <c r="F501" s="165"/>
      <c r="G501" s="158" t="s">
        <v>206</v>
      </c>
      <c r="H501" s="67" t="s">
        <v>69</v>
      </c>
      <c r="I501" s="124" t="s">
        <v>273</v>
      </c>
      <c r="J501" s="168" t="str">
        <f t="shared" si="1"/>
        <v>03 - marzo</v>
      </c>
      <c r="K501" s="168" t="str">
        <f t="shared" si="2"/>
        <v>2026</v>
      </c>
      <c r="L501" s="69"/>
    </row>
    <row r="502" ht="22.5" hidden="1" customHeight="1">
      <c r="A502" s="77" t="s">
        <v>85</v>
      </c>
      <c r="B502" s="63" t="s">
        <v>64</v>
      </c>
      <c r="C502" s="175"/>
      <c r="D502" s="160">
        <v>46082.0</v>
      </c>
      <c r="E502" s="176"/>
      <c r="F502" s="166"/>
      <c r="G502" s="184"/>
      <c r="H502" s="185" t="s">
        <v>70</v>
      </c>
      <c r="I502" s="124" t="s">
        <v>273</v>
      </c>
      <c r="J502" s="150" t="str">
        <f t="shared" si="1"/>
        <v>03 - marzo</v>
      </c>
      <c r="K502" s="150" t="str">
        <f t="shared" si="2"/>
        <v>2026</v>
      </c>
      <c r="L502" s="80"/>
    </row>
    <row r="503" ht="22.5" hidden="1" customHeight="1">
      <c r="A503" s="68" t="s">
        <v>66</v>
      </c>
      <c r="B503" s="63" t="s">
        <v>64</v>
      </c>
      <c r="C503" s="157">
        <v>30000.0</v>
      </c>
      <c r="D503" s="65">
        <v>46113.0</v>
      </c>
      <c r="E503" s="65">
        <v>46113.0</v>
      </c>
      <c r="F503" s="87"/>
      <c r="G503" s="158" t="s">
        <v>206</v>
      </c>
      <c r="H503" s="67" t="s">
        <v>69</v>
      </c>
      <c r="I503" s="124" t="s">
        <v>273</v>
      </c>
      <c r="J503" s="66" t="str">
        <f t="shared" si="1"/>
        <v>04 - abril</v>
      </c>
      <c r="K503" s="66" t="str">
        <f t="shared" si="2"/>
        <v>2026</v>
      </c>
      <c r="L503" s="69"/>
    </row>
    <row r="504" ht="22.5" hidden="1" customHeight="1">
      <c r="A504" s="77" t="s">
        <v>72</v>
      </c>
      <c r="B504" s="63" t="s">
        <v>64</v>
      </c>
      <c r="C504" s="159">
        <v>30000.0</v>
      </c>
      <c r="D504" s="160">
        <v>46113.0</v>
      </c>
      <c r="E504" s="160">
        <v>46113.0</v>
      </c>
      <c r="F504" s="84"/>
      <c r="G504" s="161" t="s">
        <v>206</v>
      </c>
      <c r="H504" s="162" t="s">
        <v>69</v>
      </c>
      <c r="I504" s="124" t="s">
        <v>273</v>
      </c>
      <c r="J504" s="150" t="str">
        <f t="shared" si="1"/>
        <v>04 - abril</v>
      </c>
      <c r="K504" s="150" t="str">
        <f t="shared" si="2"/>
        <v>2026</v>
      </c>
      <c r="L504" s="80"/>
    </row>
    <row r="505" ht="22.5" hidden="1" customHeight="1">
      <c r="A505" s="68" t="s">
        <v>74</v>
      </c>
      <c r="B505" s="63" t="s">
        <v>64</v>
      </c>
      <c r="C505" s="93"/>
      <c r="D505" s="65">
        <v>46113.0</v>
      </c>
      <c r="E505" s="86"/>
      <c r="F505" s="87"/>
      <c r="G505" s="95"/>
      <c r="H505" s="115" t="s">
        <v>70</v>
      </c>
      <c r="I505" s="124" t="s">
        <v>273</v>
      </c>
      <c r="J505" s="66" t="str">
        <f t="shared" si="1"/>
        <v>04 - abril</v>
      </c>
      <c r="K505" s="66" t="str">
        <f t="shared" si="2"/>
        <v>2026</v>
      </c>
      <c r="L505" s="69"/>
    </row>
    <row r="506" ht="22.5" hidden="1" customHeight="1">
      <c r="A506" s="77" t="s">
        <v>75</v>
      </c>
      <c r="B506" s="63" t="s">
        <v>64</v>
      </c>
      <c r="C506" s="159">
        <v>30000.0</v>
      </c>
      <c r="D506" s="160">
        <v>46113.0</v>
      </c>
      <c r="E506" s="160">
        <v>46113.0</v>
      </c>
      <c r="F506" s="84"/>
      <c r="G506" s="161" t="s">
        <v>206</v>
      </c>
      <c r="H506" s="162" t="s">
        <v>69</v>
      </c>
      <c r="I506" s="124" t="s">
        <v>273</v>
      </c>
      <c r="J506" s="150" t="str">
        <f t="shared" si="1"/>
        <v>04 - abril</v>
      </c>
      <c r="K506" s="150" t="str">
        <f t="shared" si="2"/>
        <v>2026</v>
      </c>
      <c r="L506" s="80"/>
    </row>
    <row r="507" ht="22.5" hidden="1" customHeight="1">
      <c r="A507" s="68" t="s">
        <v>76</v>
      </c>
      <c r="B507" s="63" t="s">
        <v>64</v>
      </c>
      <c r="C507" s="157">
        <v>30000.0</v>
      </c>
      <c r="D507" s="65">
        <v>46113.0</v>
      </c>
      <c r="E507" s="65">
        <v>46113.0</v>
      </c>
      <c r="F507" s="165"/>
      <c r="G507" s="158" t="s">
        <v>206</v>
      </c>
      <c r="H507" s="67" t="s">
        <v>69</v>
      </c>
      <c r="I507" s="124" t="s">
        <v>273</v>
      </c>
      <c r="J507" s="66" t="str">
        <f t="shared" si="1"/>
        <v>04 - abril</v>
      </c>
      <c r="K507" s="66" t="str">
        <f t="shared" si="2"/>
        <v>2026</v>
      </c>
      <c r="L507" s="69"/>
    </row>
    <row r="508" ht="22.5" hidden="1" customHeight="1">
      <c r="A508" s="77" t="s">
        <v>78</v>
      </c>
      <c r="B508" s="63" t="s">
        <v>64</v>
      </c>
      <c r="C508" s="159">
        <v>30000.0</v>
      </c>
      <c r="D508" s="160">
        <v>46113.0</v>
      </c>
      <c r="E508" s="160">
        <v>46113.0</v>
      </c>
      <c r="F508" s="166"/>
      <c r="G508" s="161" t="s">
        <v>206</v>
      </c>
      <c r="H508" s="162" t="s">
        <v>69</v>
      </c>
      <c r="I508" s="124" t="s">
        <v>273</v>
      </c>
      <c r="J508" s="150" t="str">
        <f t="shared" si="1"/>
        <v>04 - abril</v>
      </c>
      <c r="K508" s="150" t="str">
        <f t="shared" si="2"/>
        <v>2026</v>
      </c>
      <c r="L508" s="80"/>
    </row>
    <row r="509" ht="22.5" hidden="1" customHeight="1">
      <c r="A509" s="68" t="s">
        <v>80</v>
      </c>
      <c r="B509" s="63" t="s">
        <v>64</v>
      </c>
      <c r="C509" s="157">
        <v>30000.0</v>
      </c>
      <c r="D509" s="65">
        <v>46113.0</v>
      </c>
      <c r="E509" s="65">
        <v>46113.0</v>
      </c>
      <c r="F509" s="165"/>
      <c r="G509" s="158" t="s">
        <v>206</v>
      </c>
      <c r="H509" s="67" t="s">
        <v>69</v>
      </c>
      <c r="I509" s="124" t="s">
        <v>273</v>
      </c>
      <c r="J509" s="66" t="str">
        <f t="shared" si="1"/>
        <v>04 - abril</v>
      </c>
      <c r="K509" s="66" t="str">
        <f t="shared" si="2"/>
        <v>2026</v>
      </c>
      <c r="L509" s="69"/>
    </row>
    <row r="510" ht="22.5" hidden="1" customHeight="1">
      <c r="A510" s="77" t="s">
        <v>81</v>
      </c>
      <c r="B510" s="63" t="s">
        <v>64</v>
      </c>
      <c r="C510" s="175"/>
      <c r="D510" s="160">
        <v>46113.0</v>
      </c>
      <c r="E510" s="176"/>
      <c r="F510" s="166"/>
      <c r="G510" s="184"/>
      <c r="H510" s="185" t="s">
        <v>70</v>
      </c>
      <c r="I510" s="124" t="s">
        <v>273</v>
      </c>
      <c r="J510" s="150" t="str">
        <f t="shared" si="1"/>
        <v>04 - abril</v>
      </c>
      <c r="K510" s="150" t="str">
        <f t="shared" si="2"/>
        <v>2026</v>
      </c>
      <c r="L510" s="80"/>
    </row>
    <row r="511" ht="22.5" hidden="1" customHeight="1">
      <c r="A511" s="68" t="s">
        <v>82</v>
      </c>
      <c r="B511" s="63" t="s">
        <v>64</v>
      </c>
      <c r="C511" s="157">
        <v>30000.0</v>
      </c>
      <c r="D511" s="65">
        <v>46113.0</v>
      </c>
      <c r="E511" s="65">
        <v>46113.0</v>
      </c>
      <c r="F511" s="165"/>
      <c r="G511" s="158" t="s">
        <v>206</v>
      </c>
      <c r="H511" s="67" t="s">
        <v>69</v>
      </c>
      <c r="I511" s="124" t="s">
        <v>273</v>
      </c>
      <c r="J511" s="168" t="str">
        <f t="shared" si="1"/>
        <v>04 - abril</v>
      </c>
      <c r="K511" s="168" t="str">
        <f t="shared" si="2"/>
        <v>2026</v>
      </c>
      <c r="L511" s="69"/>
    </row>
    <row r="512" ht="22.5" hidden="1" customHeight="1">
      <c r="A512" s="77" t="s">
        <v>85</v>
      </c>
      <c r="B512" s="63" t="s">
        <v>64</v>
      </c>
      <c r="C512" s="175"/>
      <c r="D512" s="160">
        <v>46113.0</v>
      </c>
      <c r="E512" s="176"/>
      <c r="F512" s="166"/>
      <c r="G512" s="184"/>
      <c r="H512" s="185" t="s">
        <v>70</v>
      </c>
      <c r="I512" s="124" t="s">
        <v>273</v>
      </c>
      <c r="J512" s="150" t="str">
        <f t="shared" si="1"/>
        <v>04 - abril</v>
      </c>
      <c r="K512" s="150" t="str">
        <f t="shared" si="2"/>
        <v>2026</v>
      </c>
      <c r="L512" s="80"/>
    </row>
    <row r="513" ht="22.5" hidden="1" customHeight="1">
      <c r="A513" s="68" t="s">
        <v>66</v>
      </c>
      <c r="B513" s="63" t="s">
        <v>64</v>
      </c>
      <c r="C513" s="157">
        <v>30000.0</v>
      </c>
      <c r="D513" s="65">
        <v>46143.0</v>
      </c>
      <c r="E513" s="65">
        <v>46143.0</v>
      </c>
      <c r="F513" s="87"/>
      <c r="G513" s="158" t="s">
        <v>206</v>
      </c>
      <c r="H513" s="67" t="s">
        <v>69</v>
      </c>
      <c r="I513" s="124" t="s">
        <v>273</v>
      </c>
      <c r="J513" s="66" t="str">
        <f t="shared" si="1"/>
        <v>05 - mayo</v>
      </c>
      <c r="K513" s="66" t="str">
        <f t="shared" si="2"/>
        <v>2026</v>
      </c>
      <c r="L513" s="69"/>
    </row>
    <row r="514" ht="22.5" hidden="1" customHeight="1">
      <c r="A514" s="77" t="s">
        <v>72</v>
      </c>
      <c r="B514" s="63" t="s">
        <v>64</v>
      </c>
      <c r="C514" s="159">
        <v>30000.0</v>
      </c>
      <c r="D514" s="160">
        <v>46143.0</v>
      </c>
      <c r="E514" s="160">
        <v>46143.0</v>
      </c>
      <c r="F514" s="84"/>
      <c r="G514" s="161" t="s">
        <v>206</v>
      </c>
      <c r="H514" s="162" t="s">
        <v>69</v>
      </c>
      <c r="I514" s="124" t="s">
        <v>273</v>
      </c>
      <c r="J514" s="150" t="str">
        <f t="shared" si="1"/>
        <v>05 - mayo</v>
      </c>
      <c r="K514" s="150" t="str">
        <f t="shared" si="2"/>
        <v>2026</v>
      </c>
      <c r="L514" s="80"/>
    </row>
    <row r="515" ht="22.5" hidden="1" customHeight="1">
      <c r="A515" s="68" t="s">
        <v>74</v>
      </c>
      <c r="B515" s="63" t="s">
        <v>64</v>
      </c>
      <c r="C515" s="93"/>
      <c r="D515" s="65">
        <v>46143.0</v>
      </c>
      <c r="E515" s="86"/>
      <c r="F515" s="87"/>
      <c r="G515" s="95"/>
      <c r="H515" s="115" t="s">
        <v>70</v>
      </c>
      <c r="I515" s="124" t="s">
        <v>273</v>
      </c>
      <c r="J515" s="66" t="str">
        <f t="shared" si="1"/>
        <v>05 - mayo</v>
      </c>
      <c r="K515" s="66" t="str">
        <f t="shared" si="2"/>
        <v>2026</v>
      </c>
      <c r="L515" s="69"/>
    </row>
    <row r="516" ht="22.5" hidden="1" customHeight="1">
      <c r="A516" s="77" t="s">
        <v>75</v>
      </c>
      <c r="B516" s="63" t="s">
        <v>64</v>
      </c>
      <c r="C516" s="159">
        <v>30000.0</v>
      </c>
      <c r="D516" s="160">
        <v>46143.0</v>
      </c>
      <c r="E516" s="160">
        <v>46143.0</v>
      </c>
      <c r="F516" s="84"/>
      <c r="G516" s="161" t="s">
        <v>206</v>
      </c>
      <c r="H516" s="162" t="s">
        <v>69</v>
      </c>
      <c r="I516" s="124" t="s">
        <v>273</v>
      </c>
      <c r="J516" s="150" t="str">
        <f t="shared" si="1"/>
        <v>05 - mayo</v>
      </c>
      <c r="K516" s="150" t="str">
        <f t="shared" si="2"/>
        <v>2026</v>
      </c>
      <c r="L516" s="80"/>
    </row>
    <row r="517" ht="22.5" hidden="1" customHeight="1">
      <c r="A517" s="68" t="s">
        <v>76</v>
      </c>
      <c r="B517" s="63" t="s">
        <v>64</v>
      </c>
      <c r="C517" s="157">
        <v>30000.0</v>
      </c>
      <c r="D517" s="65">
        <v>46143.0</v>
      </c>
      <c r="E517" s="65">
        <v>46143.0</v>
      </c>
      <c r="F517" s="165"/>
      <c r="G517" s="158" t="s">
        <v>206</v>
      </c>
      <c r="H517" s="67" t="s">
        <v>69</v>
      </c>
      <c r="I517" s="124" t="s">
        <v>273</v>
      </c>
      <c r="J517" s="66" t="str">
        <f t="shared" si="1"/>
        <v>05 - mayo</v>
      </c>
      <c r="K517" s="66" t="str">
        <f t="shared" si="2"/>
        <v>2026</v>
      </c>
      <c r="L517" s="69"/>
    </row>
    <row r="518" ht="22.5" hidden="1" customHeight="1">
      <c r="A518" s="77" t="s">
        <v>78</v>
      </c>
      <c r="B518" s="63" t="s">
        <v>64</v>
      </c>
      <c r="C518" s="159">
        <v>30000.0</v>
      </c>
      <c r="D518" s="160">
        <v>46143.0</v>
      </c>
      <c r="E518" s="160">
        <v>46143.0</v>
      </c>
      <c r="F518" s="166"/>
      <c r="G518" s="161" t="s">
        <v>206</v>
      </c>
      <c r="H518" s="162" t="s">
        <v>69</v>
      </c>
      <c r="I518" s="124" t="s">
        <v>273</v>
      </c>
      <c r="J518" s="150" t="str">
        <f t="shared" si="1"/>
        <v>05 - mayo</v>
      </c>
      <c r="K518" s="150" t="str">
        <f t="shared" si="2"/>
        <v>2026</v>
      </c>
      <c r="L518" s="80"/>
    </row>
    <row r="519" ht="22.5" hidden="1" customHeight="1">
      <c r="A519" s="68" t="s">
        <v>80</v>
      </c>
      <c r="B519" s="63" t="s">
        <v>64</v>
      </c>
      <c r="C519" s="157">
        <v>30000.0</v>
      </c>
      <c r="D519" s="65">
        <v>46143.0</v>
      </c>
      <c r="E519" s="65">
        <v>46143.0</v>
      </c>
      <c r="F519" s="165"/>
      <c r="G519" s="158" t="s">
        <v>206</v>
      </c>
      <c r="H519" s="67" t="s">
        <v>69</v>
      </c>
      <c r="I519" s="124" t="s">
        <v>273</v>
      </c>
      <c r="J519" s="66" t="str">
        <f t="shared" si="1"/>
        <v>05 - mayo</v>
      </c>
      <c r="K519" s="66" t="str">
        <f t="shared" si="2"/>
        <v>2026</v>
      </c>
      <c r="L519" s="69"/>
    </row>
    <row r="520" ht="22.5" hidden="1" customHeight="1">
      <c r="A520" s="77" t="s">
        <v>81</v>
      </c>
      <c r="B520" s="63" t="s">
        <v>64</v>
      </c>
      <c r="C520" s="175"/>
      <c r="D520" s="160">
        <v>46143.0</v>
      </c>
      <c r="E520" s="176"/>
      <c r="F520" s="166"/>
      <c r="G520" s="184"/>
      <c r="H520" s="185" t="s">
        <v>70</v>
      </c>
      <c r="I520" s="124" t="s">
        <v>273</v>
      </c>
      <c r="J520" s="150" t="str">
        <f t="shared" si="1"/>
        <v>05 - mayo</v>
      </c>
      <c r="K520" s="150" t="str">
        <f t="shared" si="2"/>
        <v>2026</v>
      </c>
      <c r="L520" s="80"/>
    </row>
    <row r="521" ht="22.5" hidden="1" customHeight="1">
      <c r="A521" s="68" t="s">
        <v>82</v>
      </c>
      <c r="B521" s="63" t="s">
        <v>64</v>
      </c>
      <c r="C521" s="157">
        <v>30000.0</v>
      </c>
      <c r="D521" s="65">
        <v>46143.0</v>
      </c>
      <c r="E521" s="65">
        <v>46143.0</v>
      </c>
      <c r="F521" s="165"/>
      <c r="G521" s="158" t="s">
        <v>206</v>
      </c>
      <c r="H521" s="67" t="s">
        <v>69</v>
      </c>
      <c r="I521" s="124" t="s">
        <v>273</v>
      </c>
      <c r="J521" s="168" t="str">
        <f t="shared" si="1"/>
        <v>05 - mayo</v>
      </c>
      <c r="K521" s="168" t="str">
        <f t="shared" si="2"/>
        <v>2026</v>
      </c>
      <c r="L521" s="69"/>
    </row>
    <row r="522" ht="22.5" hidden="1" customHeight="1">
      <c r="A522" s="77" t="s">
        <v>85</v>
      </c>
      <c r="B522" s="63" t="s">
        <v>64</v>
      </c>
      <c r="C522" s="175"/>
      <c r="D522" s="160">
        <v>46143.0</v>
      </c>
      <c r="E522" s="176"/>
      <c r="F522" s="166"/>
      <c r="G522" s="184"/>
      <c r="H522" s="185" t="s">
        <v>70</v>
      </c>
      <c r="I522" s="124" t="s">
        <v>273</v>
      </c>
      <c r="J522" s="150" t="str">
        <f t="shared" si="1"/>
        <v>05 - mayo</v>
      </c>
      <c r="K522" s="150" t="str">
        <f t="shared" si="2"/>
        <v>2026</v>
      </c>
      <c r="L522" s="80"/>
    </row>
    <row r="523" ht="22.5" hidden="1" customHeight="1">
      <c r="A523" s="68" t="s">
        <v>66</v>
      </c>
      <c r="B523" s="63" t="s">
        <v>64</v>
      </c>
      <c r="C523" s="157">
        <v>30000.0</v>
      </c>
      <c r="D523" s="65">
        <v>46174.0</v>
      </c>
      <c r="E523" s="65">
        <v>46174.0</v>
      </c>
      <c r="F523" s="87"/>
      <c r="G523" s="158" t="s">
        <v>206</v>
      </c>
      <c r="H523" s="67" t="s">
        <v>69</v>
      </c>
      <c r="I523" s="124" t="s">
        <v>273</v>
      </c>
      <c r="J523" s="66" t="str">
        <f t="shared" si="1"/>
        <v>06 - junio</v>
      </c>
      <c r="K523" s="66" t="str">
        <f t="shared" si="2"/>
        <v>2026</v>
      </c>
      <c r="L523" s="69"/>
    </row>
    <row r="524" ht="22.5" hidden="1" customHeight="1">
      <c r="A524" s="77" t="s">
        <v>72</v>
      </c>
      <c r="B524" s="63" t="s">
        <v>64</v>
      </c>
      <c r="C524" s="159">
        <v>30000.0</v>
      </c>
      <c r="D524" s="160">
        <v>46174.0</v>
      </c>
      <c r="E524" s="160">
        <v>46174.0</v>
      </c>
      <c r="F524" s="84"/>
      <c r="G524" s="161" t="s">
        <v>206</v>
      </c>
      <c r="H524" s="162" t="s">
        <v>69</v>
      </c>
      <c r="I524" s="124" t="s">
        <v>273</v>
      </c>
      <c r="J524" s="150" t="str">
        <f t="shared" si="1"/>
        <v>06 - junio</v>
      </c>
      <c r="K524" s="150" t="str">
        <f t="shared" si="2"/>
        <v>2026</v>
      </c>
      <c r="L524" s="80"/>
    </row>
    <row r="525" ht="22.5" hidden="1" customHeight="1">
      <c r="A525" s="68" t="s">
        <v>74</v>
      </c>
      <c r="B525" s="63" t="s">
        <v>64</v>
      </c>
      <c r="C525" s="93"/>
      <c r="D525" s="65">
        <v>46174.0</v>
      </c>
      <c r="E525" s="86"/>
      <c r="F525" s="87"/>
      <c r="G525" s="95"/>
      <c r="H525" s="115" t="s">
        <v>70</v>
      </c>
      <c r="I525" s="124" t="s">
        <v>273</v>
      </c>
      <c r="J525" s="66" t="str">
        <f t="shared" si="1"/>
        <v>06 - junio</v>
      </c>
      <c r="K525" s="66" t="str">
        <f t="shared" si="2"/>
        <v>2026</v>
      </c>
      <c r="L525" s="69"/>
    </row>
    <row r="526" ht="22.5" hidden="1" customHeight="1">
      <c r="A526" s="77" t="s">
        <v>75</v>
      </c>
      <c r="B526" s="63" t="s">
        <v>64</v>
      </c>
      <c r="C526" s="159">
        <v>30000.0</v>
      </c>
      <c r="D526" s="160">
        <v>46174.0</v>
      </c>
      <c r="E526" s="160">
        <v>46174.0</v>
      </c>
      <c r="F526" s="84"/>
      <c r="G526" s="161" t="s">
        <v>206</v>
      </c>
      <c r="H526" s="162" t="s">
        <v>69</v>
      </c>
      <c r="I526" s="124" t="s">
        <v>273</v>
      </c>
      <c r="J526" s="150" t="str">
        <f t="shared" si="1"/>
        <v>06 - junio</v>
      </c>
      <c r="K526" s="150" t="str">
        <f t="shared" si="2"/>
        <v>2026</v>
      </c>
      <c r="L526" s="80"/>
    </row>
    <row r="527" ht="22.5" hidden="1" customHeight="1">
      <c r="A527" s="68" t="s">
        <v>76</v>
      </c>
      <c r="B527" s="63" t="s">
        <v>64</v>
      </c>
      <c r="C527" s="157">
        <v>30000.0</v>
      </c>
      <c r="D527" s="65">
        <v>46174.0</v>
      </c>
      <c r="E527" s="65">
        <v>46174.0</v>
      </c>
      <c r="F527" s="165"/>
      <c r="G527" s="158" t="s">
        <v>206</v>
      </c>
      <c r="H527" s="67" t="s">
        <v>69</v>
      </c>
      <c r="I527" s="124" t="s">
        <v>273</v>
      </c>
      <c r="J527" s="66" t="str">
        <f t="shared" si="1"/>
        <v>06 - junio</v>
      </c>
      <c r="K527" s="66" t="str">
        <f t="shared" si="2"/>
        <v>2026</v>
      </c>
      <c r="L527" s="69"/>
    </row>
    <row r="528" ht="22.5" hidden="1" customHeight="1">
      <c r="A528" s="77" t="s">
        <v>78</v>
      </c>
      <c r="B528" s="63" t="s">
        <v>64</v>
      </c>
      <c r="C528" s="159">
        <v>30000.0</v>
      </c>
      <c r="D528" s="160">
        <v>46174.0</v>
      </c>
      <c r="E528" s="160">
        <v>46174.0</v>
      </c>
      <c r="F528" s="166"/>
      <c r="G528" s="161" t="s">
        <v>206</v>
      </c>
      <c r="H528" s="162" t="s">
        <v>69</v>
      </c>
      <c r="I528" s="124" t="s">
        <v>273</v>
      </c>
      <c r="J528" s="150" t="str">
        <f t="shared" si="1"/>
        <v>06 - junio</v>
      </c>
      <c r="K528" s="150" t="str">
        <f t="shared" si="2"/>
        <v>2026</v>
      </c>
      <c r="L528" s="80"/>
    </row>
    <row r="529" ht="22.5" hidden="1" customHeight="1">
      <c r="A529" s="68" t="s">
        <v>80</v>
      </c>
      <c r="B529" s="63" t="s">
        <v>64</v>
      </c>
      <c r="C529" s="157">
        <v>30000.0</v>
      </c>
      <c r="D529" s="65">
        <v>46174.0</v>
      </c>
      <c r="E529" s="65">
        <v>46174.0</v>
      </c>
      <c r="F529" s="165"/>
      <c r="G529" s="158" t="s">
        <v>206</v>
      </c>
      <c r="H529" s="67" t="s">
        <v>69</v>
      </c>
      <c r="I529" s="124" t="s">
        <v>273</v>
      </c>
      <c r="J529" s="66" t="str">
        <f t="shared" si="1"/>
        <v>06 - junio</v>
      </c>
      <c r="K529" s="66" t="str">
        <f t="shared" si="2"/>
        <v>2026</v>
      </c>
      <c r="L529" s="69"/>
    </row>
    <row r="530" ht="22.5" hidden="1" customHeight="1">
      <c r="A530" s="77" t="s">
        <v>81</v>
      </c>
      <c r="B530" s="63" t="s">
        <v>64</v>
      </c>
      <c r="C530" s="175"/>
      <c r="D530" s="160">
        <v>46174.0</v>
      </c>
      <c r="E530" s="176"/>
      <c r="F530" s="166"/>
      <c r="G530" s="184"/>
      <c r="H530" s="185" t="s">
        <v>70</v>
      </c>
      <c r="I530" s="124" t="s">
        <v>273</v>
      </c>
      <c r="J530" s="150" t="str">
        <f t="shared" si="1"/>
        <v>06 - junio</v>
      </c>
      <c r="K530" s="150" t="str">
        <f t="shared" si="2"/>
        <v>2026</v>
      </c>
      <c r="L530" s="80"/>
    </row>
    <row r="531" ht="22.5" hidden="1" customHeight="1">
      <c r="A531" s="68" t="s">
        <v>82</v>
      </c>
      <c r="B531" s="63" t="s">
        <v>64</v>
      </c>
      <c r="C531" s="157">
        <v>30000.0</v>
      </c>
      <c r="D531" s="65">
        <v>46174.0</v>
      </c>
      <c r="E531" s="65">
        <v>46174.0</v>
      </c>
      <c r="F531" s="165"/>
      <c r="G531" s="158" t="s">
        <v>206</v>
      </c>
      <c r="H531" s="67" t="s">
        <v>69</v>
      </c>
      <c r="I531" s="124" t="s">
        <v>273</v>
      </c>
      <c r="J531" s="168" t="str">
        <f t="shared" si="1"/>
        <v>06 - junio</v>
      </c>
      <c r="K531" s="168" t="str">
        <f t="shared" si="2"/>
        <v>2026</v>
      </c>
      <c r="L531" s="69"/>
    </row>
    <row r="532" ht="22.5" hidden="1" customHeight="1">
      <c r="A532" s="77" t="s">
        <v>85</v>
      </c>
      <c r="B532" s="63" t="s">
        <v>64</v>
      </c>
      <c r="C532" s="175"/>
      <c r="D532" s="160">
        <v>46174.0</v>
      </c>
      <c r="E532" s="176"/>
      <c r="F532" s="166"/>
      <c r="G532" s="184"/>
      <c r="H532" s="185" t="s">
        <v>70</v>
      </c>
      <c r="I532" s="124" t="s">
        <v>273</v>
      </c>
      <c r="J532" s="150" t="str">
        <f t="shared" si="1"/>
        <v>06 - junio</v>
      </c>
      <c r="K532" s="150" t="str">
        <f t="shared" si="2"/>
        <v>2026</v>
      </c>
      <c r="L532" s="80"/>
    </row>
    <row r="533" ht="22.5" hidden="1" customHeight="1">
      <c r="A533" s="68" t="s">
        <v>66</v>
      </c>
      <c r="B533" s="63" t="s">
        <v>64</v>
      </c>
      <c r="C533" s="157">
        <v>30000.0</v>
      </c>
      <c r="D533" s="65">
        <v>46204.0</v>
      </c>
      <c r="E533" s="65">
        <v>46204.0</v>
      </c>
      <c r="F533" s="87"/>
      <c r="G533" s="158" t="s">
        <v>206</v>
      </c>
      <c r="H533" s="67" t="s">
        <v>69</v>
      </c>
      <c r="I533" s="124" t="s">
        <v>273</v>
      </c>
      <c r="J533" s="66" t="str">
        <f t="shared" si="1"/>
        <v>07 - julio</v>
      </c>
      <c r="K533" s="66" t="str">
        <f t="shared" si="2"/>
        <v>2026</v>
      </c>
      <c r="L533" s="69"/>
    </row>
    <row r="534" ht="22.5" hidden="1" customHeight="1">
      <c r="A534" s="77" t="s">
        <v>72</v>
      </c>
      <c r="B534" s="63" t="s">
        <v>64</v>
      </c>
      <c r="C534" s="159">
        <v>30000.0</v>
      </c>
      <c r="D534" s="160">
        <v>46204.0</v>
      </c>
      <c r="E534" s="160">
        <v>46204.0</v>
      </c>
      <c r="F534" s="84"/>
      <c r="G534" s="161" t="s">
        <v>206</v>
      </c>
      <c r="H534" s="162" t="s">
        <v>69</v>
      </c>
      <c r="I534" s="124" t="s">
        <v>273</v>
      </c>
      <c r="J534" s="150" t="str">
        <f t="shared" si="1"/>
        <v>07 - julio</v>
      </c>
      <c r="K534" s="150" t="str">
        <f t="shared" si="2"/>
        <v>2026</v>
      </c>
      <c r="L534" s="80"/>
    </row>
    <row r="535" ht="22.5" hidden="1" customHeight="1">
      <c r="A535" s="68" t="s">
        <v>74</v>
      </c>
      <c r="B535" s="63" t="s">
        <v>64</v>
      </c>
      <c r="C535" s="93"/>
      <c r="D535" s="65">
        <v>46204.0</v>
      </c>
      <c r="E535" s="86"/>
      <c r="F535" s="87"/>
      <c r="G535" s="95"/>
      <c r="H535" s="115" t="s">
        <v>70</v>
      </c>
      <c r="I535" s="124" t="s">
        <v>273</v>
      </c>
      <c r="J535" s="66" t="str">
        <f t="shared" si="1"/>
        <v>07 - julio</v>
      </c>
      <c r="K535" s="66" t="str">
        <f t="shared" si="2"/>
        <v>2026</v>
      </c>
      <c r="L535" s="69"/>
    </row>
    <row r="536" ht="22.5" hidden="1" customHeight="1">
      <c r="A536" s="77" t="s">
        <v>75</v>
      </c>
      <c r="B536" s="63" t="s">
        <v>64</v>
      </c>
      <c r="C536" s="159">
        <v>30000.0</v>
      </c>
      <c r="D536" s="160">
        <v>46204.0</v>
      </c>
      <c r="E536" s="160">
        <v>46204.0</v>
      </c>
      <c r="F536" s="84"/>
      <c r="G536" s="161" t="s">
        <v>206</v>
      </c>
      <c r="H536" s="162" t="s">
        <v>69</v>
      </c>
      <c r="I536" s="124" t="s">
        <v>273</v>
      </c>
      <c r="J536" s="150" t="str">
        <f t="shared" si="1"/>
        <v>07 - julio</v>
      </c>
      <c r="K536" s="150" t="str">
        <f t="shared" si="2"/>
        <v>2026</v>
      </c>
      <c r="L536" s="80"/>
    </row>
    <row r="537" ht="22.5" hidden="1" customHeight="1">
      <c r="A537" s="68" t="s">
        <v>76</v>
      </c>
      <c r="B537" s="63" t="s">
        <v>64</v>
      </c>
      <c r="C537" s="157">
        <v>30000.0</v>
      </c>
      <c r="D537" s="65">
        <v>46204.0</v>
      </c>
      <c r="E537" s="65">
        <v>46204.0</v>
      </c>
      <c r="F537" s="165"/>
      <c r="G537" s="158" t="s">
        <v>206</v>
      </c>
      <c r="H537" s="67" t="s">
        <v>69</v>
      </c>
      <c r="I537" s="124" t="s">
        <v>273</v>
      </c>
      <c r="J537" s="66" t="str">
        <f t="shared" si="1"/>
        <v>07 - julio</v>
      </c>
      <c r="K537" s="66" t="str">
        <f t="shared" si="2"/>
        <v>2026</v>
      </c>
      <c r="L537" s="69"/>
    </row>
    <row r="538" ht="22.5" hidden="1" customHeight="1">
      <c r="A538" s="77" t="s">
        <v>78</v>
      </c>
      <c r="B538" s="63" t="s">
        <v>64</v>
      </c>
      <c r="C538" s="159">
        <v>30000.0</v>
      </c>
      <c r="D538" s="160">
        <v>46204.0</v>
      </c>
      <c r="E538" s="160">
        <v>46204.0</v>
      </c>
      <c r="F538" s="166"/>
      <c r="G538" s="161" t="s">
        <v>206</v>
      </c>
      <c r="H538" s="162" t="s">
        <v>69</v>
      </c>
      <c r="I538" s="124" t="s">
        <v>273</v>
      </c>
      <c r="J538" s="150" t="str">
        <f t="shared" si="1"/>
        <v>07 - julio</v>
      </c>
      <c r="K538" s="150" t="str">
        <f t="shared" si="2"/>
        <v>2026</v>
      </c>
      <c r="L538" s="80"/>
    </row>
    <row r="539" ht="22.5" hidden="1" customHeight="1">
      <c r="A539" s="68" t="s">
        <v>80</v>
      </c>
      <c r="B539" s="63" t="s">
        <v>64</v>
      </c>
      <c r="C539" s="157">
        <v>30000.0</v>
      </c>
      <c r="D539" s="65">
        <v>46204.0</v>
      </c>
      <c r="E539" s="65">
        <v>46204.0</v>
      </c>
      <c r="F539" s="165"/>
      <c r="G539" s="158" t="s">
        <v>206</v>
      </c>
      <c r="H539" s="67" t="s">
        <v>69</v>
      </c>
      <c r="I539" s="124" t="s">
        <v>273</v>
      </c>
      <c r="J539" s="66" t="str">
        <f t="shared" si="1"/>
        <v>07 - julio</v>
      </c>
      <c r="K539" s="66" t="str">
        <f t="shared" si="2"/>
        <v>2026</v>
      </c>
      <c r="L539" s="69"/>
    </row>
    <row r="540" ht="22.5" hidden="1" customHeight="1">
      <c r="A540" s="77" t="s">
        <v>81</v>
      </c>
      <c r="B540" s="63" t="s">
        <v>64</v>
      </c>
      <c r="C540" s="175"/>
      <c r="D540" s="160">
        <v>46204.0</v>
      </c>
      <c r="E540" s="176"/>
      <c r="F540" s="166"/>
      <c r="G540" s="184"/>
      <c r="H540" s="185" t="s">
        <v>70</v>
      </c>
      <c r="I540" s="124" t="s">
        <v>273</v>
      </c>
      <c r="J540" s="150" t="str">
        <f t="shared" si="1"/>
        <v>07 - julio</v>
      </c>
      <c r="K540" s="150" t="str">
        <f t="shared" si="2"/>
        <v>2026</v>
      </c>
      <c r="L540" s="80"/>
    </row>
    <row r="541" ht="22.5" hidden="1" customHeight="1">
      <c r="A541" s="68" t="s">
        <v>82</v>
      </c>
      <c r="B541" s="63" t="s">
        <v>64</v>
      </c>
      <c r="C541" s="157">
        <v>30000.0</v>
      </c>
      <c r="D541" s="65">
        <v>46204.0</v>
      </c>
      <c r="E541" s="65">
        <v>46204.0</v>
      </c>
      <c r="F541" s="165"/>
      <c r="G541" s="158" t="s">
        <v>206</v>
      </c>
      <c r="H541" s="67" t="s">
        <v>69</v>
      </c>
      <c r="I541" s="124" t="s">
        <v>273</v>
      </c>
      <c r="J541" s="168" t="str">
        <f t="shared" si="1"/>
        <v>07 - julio</v>
      </c>
      <c r="K541" s="168" t="str">
        <f t="shared" si="2"/>
        <v>2026</v>
      </c>
      <c r="L541" s="69"/>
    </row>
    <row r="542" ht="22.5" hidden="1" customHeight="1">
      <c r="A542" s="77" t="s">
        <v>85</v>
      </c>
      <c r="B542" s="63" t="s">
        <v>64</v>
      </c>
      <c r="C542" s="175"/>
      <c r="D542" s="160">
        <v>46204.0</v>
      </c>
      <c r="E542" s="176"/>
      <c r="F542" s="166"/>
      <c r="G542" s="184"/>
      <c r="H542" s="185" t="s">
        <v>70</v>
      </c>
      <c r="I542" s="124" t="s">
        <v>273</v>
      </c>
      <c r="J542" s="150" t="str">
        <f t="shared" si="1"/>
        <v>07 - julio</v>
      </c>
      <c r="K542" s="150" t="str">
        <f t="shared" si="2"/>
        <v>2026</v>
      </c>
      <c r="L542" s="80"/>
    </row>
    <row r="543" ht="22.5" hidden="1" customHeight="1">
      <c r="A543" s="68" t="s">
        <v>66</v>
      </c>
      <c r="B543" s="63" t="s">
        <v>64</v>
      </c>
      <c r="C543" s="157">
        <v>30000.0</v>
      </c>
      <c r="D543" s="65">
        <v>46235.0</v>
      </c>
      <c r="E543" s="65">
        <v>46235.0</v>
      </c>
      <c r="F543" s="87"/>
      <c r="G543" s="158" t="s">
        <v>206</v>
      </c>
      <c r="H543" s="67" t="s">
        <v>69</v>
      </c>
      <c r="I543" s="124" t="s">
        <v>273</v>
      </c>
      <c r="J543" s="66" t="str">
        <f t="shared" si="1"/>
        <v>08 - agosto</v>
      </c>
      <c r="K543" s="66" t="str">
        <f t="shared" si="2"/>
        <v>2026</v>
      </c>
      <c r="L543" s="69"/>
    </row>
    <row r="544" ht="22.5" hidden="1" customHeight="1">
      <c r="A544" s="77" t="s">
        <v>72</v>
      </c>
      <c r="B544" s="63" t="s">
        <v>64</v>
      </c>
      <c r="C544" s="159">
        <v>30000.0</v>
      </c>
      <c r="D544" s="160">
        <v>46235.0</v>
      </c>
      <c r="E544" s="160">
        <v>46235.0</v>
      </c>
      <c r="F544" s="84"/>
      <c r="G544" s="161" t="s">
        <v>206</v>
      </c>
      <c r="H544" s="162" t="s">
        <v>69</v>
      </c>
      <c r="I544" s="124" t="s">
        <v>273</v>
      </c>
      <c r="J544" s="150" t="str">
        <f t="shared" si="1"/>
        <v>08 - agosto</v>
      </c>
      <c r="K544" s="150" t="str">
        <f t="shared" si="2"/>
        <v>2026</v>
      </c>
      <c r="L544" s="80"/>
    </row>
    <row r="545" ht="22.5" hidden="1" customHeight="1">
      <c r="A545" s="68" t="s">
        <v>74</v>
      </c>
      <c r="B545" s="63" t="s">
        <v>64</v>
      </c>
      <c r="C545" s="93"/>
      <c r="D545" s="65">
        <v>46235.0</v>
      </c>
      <c r="E545" s="86"/>
      <c r="F545" s="87"/>
      <c r="G545" s="95"/>
      <c r="H545" s="115" t="s">
        <v>70</v>
      </c>
      <c r="I545" s="124" t="s">
        <v>273</v>
      </c>
      <c r="J545" s="66" t="str">
        <f t="shared" si="1"/>
        <v>08 - agosto</v>
      </c>
      <c r="K545" s="66" t="str">
        <f t="shared" si="2"/>
        <v>2026</v>
      </c>
      <c r="L545" s="69"/>
    </row>
    <row r="546" ht="22.5" hidden="1" customHeight="1">
      <c r="A546" s="77" t="s">
        <v>75</v>
      </c>
      <c r="B546" s="63" t="s">
        <v>64</v>
      </c>
      <c r="C546" s="159">
        <v>30000.0</v>
      </c>
      <c r="D546" s="160">
        <v>46235.0</v>
      </c>
      <c r="E546" s="160">
        <v>46235.0</v>
      </c>
      <c r="F546" s="84"/>
      <c r="G546" s="161" t="s">
        <v>206</v>
      </c>
      <c r="H546" s="162" t="s">
        <v>69</v>
      </c>
      <c r="I546" s="124" t="s">
        <v>273</v>
      </c>
      <c r="J546" s="150" t="str">
        <f t="shared" si="1"/>
        <v>08 - agosto</v>
      </c>
      <c r="K546" s="150" t="str">
        <f t="shared" si="2"/>
        <v>2026</v>
      </c>
      <c r="L546" s="80"/>
    </row>
    <row r="547" ht="22.5" hidden="1" customHeight="1">
      <c r="A547" s="68" t="s">
        <v>76</v>
      </c>
      <c r="B547" s="63" t="s">
        <v>64</v>
      </c>
      <c r="C547" s="157">
        <v>30000.0</v>
      </c>
      <c r="D547" s="65">
        <v>46235.0</v>
      </c>
      <c r="E547" s="65">
        <v>46235.0</v>
      </c>
      <c r="F547" s="165"/>
      <c r="G547" s="158" t="s">
        <v>206</v>
      </c>
      <c r="H547" s="67" t="s">
        <v>69</v>
      </c>
      <c r="I547" s="124" t="s">
        <v>273</v>
      </c>
      <c r="J547" s="66" t="str">
        <f t="shared" si="1"/>
        <v>08 - agosto</v>
      </c>
      <c r="K547" s="66" t="str">
        <f t="shared" si="2"/>
        <v>2026</v>
      </c>
      <c r="L547" s="69"/>
    </row>
    <row r="548" ht="22.5" hidden="1" customHeight="1">
      <c r="A548" s="77" t="s">
        <v>78</v>
      </c>
      <c r="B548" s="63" t="s">
        <v>64</v>
      </c>
      <c r="C548" s="159">
        <v>30000.0</v>
      </c>
      <c r="D548" s="160">
        <v>46235.0</v>
      </c>
      <c r="E548" s="160">
        <v>46235.0</v>
      </c>
      <c r="F548" s="166"/>
      <c r="G548" s="161" t="s">
        <v>206</v>
      </c>
      <c r="H548" s="162" t="s">
        <v>69</v>
      </c>
      <c r="I548" s="124" t="s">
        <v>273</v>
      </c>
      <c r="J548" s="150" t="str">
        <f t="shared" si="1"/>
        <v>08 - agosto</v>
      </c>
      <c r="K548" s="150" t="str">
        <f t="shared" si="2"/>
        <v>2026</v>
      </c>
      <c r="L548" s="80"/>
    </row>
    <row r="549" ht="22.5" hidden="1" customHeight="1">
      <c r="A549" s="68" t="s">
        <v>80</v>
      </c>
      <c r="B549" s="63" t="s">
        <v>64</v>
      </c>
      <c r="C549" s="157">
        <v>30000.0</v>
      </c>
      <c r="D549" s="65">
        <v>46235.0</v>
      </c>
      <c r="E549" s="65">
        <v>46235.0</v>
      </c>
      <c r="F549" s="165"/>
      <c r="G549" s="158" t="s">
        <v>206</v>
      </c>
      <c r="H549" s="67" t="s">
        <v>69</v>
      </c>
      <c r="I549" s="124" t="s">
        <v>273</v>
      </c>
      <c r="J549" s="66" t="str">
        <f t="shared" si="1"/>
        <v>08 - agosto</v>
      </c>
      <c r="K549" s="66" t="str">
        <f t="shared" si="2"/>
        <v>2026</v>
      </c>
      <c r="L549" s="69"/>
    </row>
    <row r="550" ht="22.5" hidden="1" customHeight="1">
      <c r="A550" s="77" t="s">
        <v>81</v>
      </c>
      <c r="B550" s="63" t="s">
        <v>64</v>
      </c>
      <c r="C550" s="175"/>
      <c r="D550" s="160">
        <v>46235.0</v>
      </c>
      <c r="E550" s="176"/>
      <c r="F550" s="166"/>
      <c r="G550" s="184"/>
      <c r="H550" s="185" t="s">
        <v>70</v>
      </c>
      <c r="I550" s="124" t="s">
        <v>273</v>
      </c>
      <c r="J550" s="150" t="str">
        <f t="shared" si="1"/>
        <v>08 - agosto</v>
      </c>
      <c r="K550" s="150" t="str">
        <f t="shared" si="2"/>
        <v>2026</v>
      </c>
      <c r="L550" s="80"/>
    </row>
    <row r="551" ht="22.5" hidden="1" customHeight="1">
      <c r="A551" s="68" t="s">
        <v>82</v>
      </c>
      <c r="B551" s="63" t="s">
        <v>64</v>
      </c>
      <c r="C551" s="157">
        <v>30000.0</v>
      </c>
      <c r="D551" s="65">
        <v>46235.0</v>
      </c>
      <c r="E551" s="65">
        <v>46235.0</v>
      </c>
      <c r="F551" s="165"/>
      <c r="G551" s="158" t="s">
        <v>206</v>
      </c>
      <c r="H551" s="67" t="s">
        <v>69</v>
      </c>
      <c r="I551" s="124" t="s">
        <v>273</v>
      </c>
      <c r="J551" s="168" t="str">
        <f t="shared" si="1"/>
        <v>08 - agosto</v>
      </c>
      <c r="K551" s="168" t="str">
        <f t="shared" si="2"/>
        <v>2026</v>
      </c>
      <c r="L551" s="69"/>
    </row>
    <row r="552" ht="22.5" hidden="1" customHeight="1">
      <c r="A552" s="77" t="s">
        <v>85</v>
      </c>
      <c r="B552" s="63" t="s">
        <v>64</v>
      </c>
      <c r="C552" s="175"/>
      <c r="D552" s="160">
        <v>46235.0</v>
      </c>
      <c r="E552" s="176"/>
      <c r="F552" s="166"/>
      <c r="G552" s="184"/>
      <c r="H552" s="185" t="s">
        <v>70</v>
      </c>
      <c r="I552" s="124" t="s">
        <v>273</v>
      </c>
      <c r="J552" s="150" t="str">
        <f t="shared" si="1"/>
        <v>08 - agosto</v>
      </c>
      <c r="K552" s="150" t="str">
        <f t="shared" si="2"/>
        <v>2026</v>
      </c>
      <c r="L552" s="80"/>
    </row>
    <row r="553" ht="22.5" hidden="1" customHeight="1">
      <c r="A553" s="68" t="s">
        <v>66</v>
      </c>
      <c r="B553" s="63" t="s">
        <v>64</v>
      </c>
      <c r="C553" s="157">
        <v>35000.0</v>
      </c>
      <c r="D553" s="65">
        <v>46266.0</v>
      </c>
      <c r="E553" s="65">
        <v>46266.0</v>
      </c>
      <c r="F553" s="87"/>
      <c r="G553" s="158" t="s">
        <v>206</v>
      </c>
      <c r="H553" s="67" t="s">
        <v>69</v>
      </c>
      <c r="I553" s="124" t="s">
        <v>273</v>
      </c>
      <c r="J553" s="66" t="str">
        <f t="shared" si="1"/>
        <v>09 - septiembre</v>
      </c>
      <c r="K553" s="66" t="str">
        <f t="shared" si="2"/>
        <v>2026</v>
      </c>
      <c r="L553" s="69"/>
    </row>
    <row r="554" ht="22.5" hidden="1" customHeight="1">
      <c r="A554" s="77" t="s">
        <v>72</v>
      </c>
      <c r="B554" s="63" t="s">
        <v>64</v>
      </c>
      <c r="C554" s="171">
        <v>35000.0</v>
      </c>
      <c r="D554" s="160">
        <v>46266.0</v>
      </c>
      <c r="E554" s="172">
        <v>46306.0</v>
      </c>
      <c r="F554" s="135" t="s">
        <v>26</v>
      </c>
      <c r="G554" s="186" t="s">
        <v>199</v>
      </c>
      <c r="H554" s="187" t="s">
        <v>69</v>
      </c>
      <c r="I554" s="124" t="s">
        <v>273</v>
      </c>
      <c r="J554" s="150" t="str">
        <f t="shared" si="1"/>
        <v>09 - septiembre</v>
      </c>
      <c r="K554" s="150" t="str">
        <f t="shared" si="2"/>
        <v>2026</v>
      </c>
      <c r="L554" s="80"/>
    </row>
    <row r="555" ht="22.5" hidden="1" customHeight="1">
      <c r="A555" s="68" t="s">
        <v>74</v>
      </c>
      <c r="B555" s="63" t="s">
        <v>64</v>
      </c>
      <c r="C555" s="93"/>
      <c r="D555" s="65">
        <v>46266.0</v>
      </c>
      <c r="E555" s="86"/>
      <c r="F555" s="87"/>
      <c r="G555" s="95"/>
      <c r="H555" s="115" t="s">
        <v>70</v>
      </c>
      <c r="I555" s="124" t="s">
        <v>273</v>
      </c>
      <c r="J555" s="66" t="str">
        <f t="shared" si="1"/>
        <v>09 - septiembre</v>
      </c>
      <c r="K555" s="66" t="str">
        <f t="shared" si="2"/>
        <v>2026</v>
      </c>
      <c r="L555" s="69"/>
    </row>
    <row r="556" ht="22.5" hidden="1" customHeight="1">
      <c r="A556" s="77" t="s">
        <v>75</v>
      </c>
      <c r="B556" s="63" t="s">
        <v>64</v>
      </c>
      <c r="C556" s="159">
        <v>35000.0</v>
      </c>
      <c r="D556" s="160">
        <v>46266.0</v>
      </c>
      <c r="E556" s="160">
        <v>46266.0</v>
      </c>
      <c r="F556" s="84"/>
      <c r="G556" s="161" t="s">
        <v>206</v>
      </c>
      <c r="H556" s="162" t="s">
        <v>69</v>
      </c>
      <c r="I556" s="124" t="s">
        <v>273</v>
      </c>
      <c r="J556" s="150" t="str">
        <f t="shared" si="1"/>
        <v>09 - septiembre</v>
      </c>
      <c r="K556" s="150" t="str">
        <f t="shared" si="2"/>
        <v>2026</v>
      </c>
      <c r="L556" s="80"/>
    </row>
    <row r="557" ht="22.5" hidden="1" customHeight="1">
      <c r="A557" s="68" t="s">
        <v>76</v>
      </c>
      <c r="B557" s="63" t="s">
        <v>64</v>
      </c>
      <c r="C557" s="157">
        <v>35000.0</v>
      </c>
      <c r="D557" s="65">
        <v>46266.0</v>
      </c>
      <c r="E557" s="65">
        <v>46266.0</v>
      </c>
      <c r="F557" s="165"/>
      <c r="G557" s="158" t="s">
        <v>206</v>
      </c>
      <c r="H557" s="67" t="s">
        <v>69</v>
      </c>
      <c r="I557" s="124" t="s">
        <v>273</v>
      </c>
      <c r="J557" s="66" t="str">
        <f t="shared" si="1"/>
        <v>09 - septiembre</v>
      </c>
      <c r="K557" s="66" t="str">
        <f t="shared" si="2"/>
        <v>2026</v>
      </c>
      <c r="L557" s="69"/>
    </row>
    <row r="558" ht="22.5" hidden="1" customHeight="1">
      <c r="A558" s="77" t="s">
        <v>78</v>
      </c>
      <c r="B558" s="63" t="s">
        <v>64</v>
      </c>
      <c r="C558" s="175"/>
      <c r="D558" s="160">
        <v>46266.0</v>
      </c>
      <c r="E558" s="176"/>
      <c r="F558" s="166"/>
      <c r="G558" s="184"/>
      <c r="H558" s="185" t="s">
        <v>70</v>
      </c>
      <c r="I558" s="124" t="s">
        <v>273</v>
      </c>
      <c r="J558" s="150" t="str">
        <f t="shared" si="1"/>
        <v>09 - septiembre</v>
      </c>
      <c r="K558" s="150" t="str">
        <f t="shared" si="2"/>
        <v>2026</v>
      </c>
      <c r="L558" s="80"/>
    </row>
    <row r="559" ht="22.5" hidden="1" customHeight="1">
      <c r="A559" s="68" t="s">
        <v>80</v>
      </c>
      <c r="B559" s="63" t="s">
        <v>64</v>
      </c>
      <c r="C559" s="157">
        <v>35000.0</v>
      </c>
      <c r="D559" s="65">
        <v>46266.0</v>
      </c>
      <c r="E559" s="65">
        <v>46266.0</v>
      </c>
      <c r="F559" s="165"/>
      <c r="G559" s="158" t="s">
        <v>206</v>
      </c>
      <c r="H559" s="67" t="s">
        <v>69</v>
      </c>
      <c r="I559" s="124" t="s">
        <v>273</v>
      </c>
      <c r="J559" s="66" t="str">
        <f t="shared" si="1"/>
        <v>09 - septiembre</v>
      </c>
      <c r="K559" s="66" t="str">
        <f t="shared" si="2"/>
        <v>2026</v>
      </c>
      <c r="L559" s="69"/>
    </row>
    <row r="560" ht="22.5" hidden="1" customHeight="1">
      <c r="A560" s="77" t="s">
        <v>81</v>
      </c>
      <c r="B560" s="63" t="s">
        <v>64</v>
      </c>
      <c r="C560" s="175"/>
      <c r="D560" s="160">
        <v>46266.0</v>
      </c>
      <c r="E560" s="176"/>
      <c r="F560" s="166"/>
      <c r="G560" s="184"/>
      <c r="H560" s="185" t="s">
        <v>70</v>
      </c>
      <c r="I560" s="124" t="s">
        <v>273</v>
      </c>
      <c r="J560" s="150" t="str">
        <f t="shared" si="1"/>
        <v>09 - septiembre</v>
      </c>
      <c r="K560" s="150" t="str">
        <f t="shared" si="2"/>
        <v>2026</v>
      </c>
      <c r="L560" s="80"/>
    </row>
    <row r="561" ht="22.5" hidden="1" customHeight="1">
      <c r="A561" s="68" t="s">
        <v>82</v>
      </c>
      <c r="B561" s="63" t="s">
        <v>64</v>
      </c>
      <c r="C561" s="157">
        <v>35000.0</v>
      </c>
      <c r="D561" s="65">
        <v>46266.0</v>
      </c>
      <c r="E561" s="65">
        <v>46266.0</v>
      </c>
      <c r="F561" s="165"/>
      <c r="G561" s="158" t="s">
        <v>206</v>
      </c>
      <c r="H561" s="67" t="s">
        <v>69</v>
      </c>
      <c r="I561" s="124" t="s">
        <v>273</v>
      </c>
      <c r="J561" s="168" t="str">
        <f t="shared" si="1"/>
        <v>09 - septiembre</v>
      </c>
      <c r="K561" s="168" t="str">
        <f t="shared" si="2"/>
        <v>2026</v>
      </c>
      <c r="L561" s="69"/>
    </row>
    <row r="562" ht="22.5" hidden="1" customHeight="1">
      <c r="A562" s="77" t="s">
        <v>85</v>
      </c>
      <c r="B562" s="63" t="s">
        <v>64</v>
      </c>
      <c r="C562" s="175"/>
      <c r="D562" s="160">
        <v>46266.0</v>
      </c>
      <c r="E562" s="176"/>
      <c r="F562" s="166"/>
      <c r="G562" s="184"/>
      <c r="H562" s="185" t="s">
        <v>70</v>
      </c>
      <c r="I562" s="124" t="s">
        <v>273</v>
      </c>
      <c r="J562" s="150" t="str">
        <f t="shared" si="1"/>
        <v>09 - septiembre</v>
      </c>
      <c r="K562" s="150" t="str">
        <f t="shared" si="2"/>
        <v>2026</v>
      </c>
      <c r="L562" s="80"/>
    </row>
    <row r="563" ht="22.5" hidden="1" customHeight="1">
      <c r="A563" s="68" t="s">
        <v>66</v>
      </c>
      <c r="B563" s="63" t="s">
        <v>64</v>
      </c>
      <c r="C563" s="157">
        <v>35000.0</v>
      </c>
      <c r="D563" s="65">
        <v>46296.0</v>
      </c>
      <c r="E563" s="65">
        <v>46297.0</v>
      </c>
      <c r="F563" s="178" t="s">
        <v>26</v>
      </c>
      <c r="G563" s="179" t="s">
        <v>199</v>
      </c>
      <c r="H563" s="67" t="s">
        <v>69</v>
      </c>
      <c r="I563" s="124" t="s">
        <v>273</v>
      </c>
      <c r="J563" s="66" t="str">
        <f t="shared" si="1"/>
        <v>10 - octubre</v>
      </c>
      <c r="K563" s="66" t="str">
        <f t="shared" si="2"/>
        <v>2026</v>
      </c>
      <c r="L563" s="69"/>
    </row>
    <row r="564" ht="22.5" hidden="1" customHeight="1">
      <c r="A564" s="77" t="s">
        <v>72</v>
      </c>
      <c r="B564" s="63" t="s">
        <v>64</v>
      </c>
      <c r="C564" s="175"/>
      <c r="D564" s="160">
        <v>46296.0</v>
      </c>
      <c r="E564" s="176"/>
      <c r="F564" s="84"/>
      <c r="G564" s="184"/>
      <c r="H564" s="185" t="s">
        <v>70</v>
      </c>
      <c r="I564" s="124" t="s">
        <v>273</v>
      </c>
      <c r="J564" s="150" t="str">
        <f t="shared" si="1"/>
        <v>10 - octubre</v>
      </c>
      <c r="K564" s="150" t="str">
        <f t="shared" si="2"/>
        <v>2026</v>
      </c>
      <c r="L564" s="80"/>
    </row>
    <row r="565" ht="22.5" hidden="1" customHeight="1">
      <c r="A565" s="68" t="s">
        <v>74</v>
      </c>
      <c r="B565" s="63" t="s">
        <v>64</v>
      </c>
      <c r="C565" s="93"/>
      <c r="D565" s="65">
        <v>46296.0</v>
      </c>
      <c r="E565" s="86"/>
      <c r="F565" s="87"/>
      <c r="G565" s="95"/>
      <c r="H565" s="115" t="s">
        <v>70</v>
      </c>
      <c r="I565" s="124" t="s">
        <v>273</v>
      </c>
      <c r="J565" s="66" t="str">
        <f t="shared" si="1"/>
        <v>10 - octubre</v>
      </c>
      <c r="K565" s="66" t="str">
        <f t="shared" si="2"/>
        <v>2026</v>
      </c>
      <c r="L565" s="69"/>
    </row>
    <row r="566" ht="22.5" hidden="1" customHeight="1">
      <c r="A566" s="77" t="s">
        <v>75</v>
      </c>
      <c r="B566" s="63" t="s">
        <v>64</v>
      </c>
      <c r="C566" s="171">
        <v>35000.0</v>
      </c>
      <c r="D566" s="160">
        <v>46296.0</v>
      </c>
      <c r="E566" s="134">
        <v>46300.0</v>
      </c>
      <c r="F566" s="135" t="s">
        <v>26</v>
      </c>
      <c r="G566" s="136" t="s">
        <v>199</v>
      </c>
      <c r="H566" s="137" t="s">
        <v>69</v>
      </c>
      <c r="I566" s="124" t="s">
        <v>273</v>
      </c>
      <c r="J566" s="150" t="str">
        <f t="shared" si="1"/>
        <v>10 - octubre</v>
      </c>
      <c r="K566" s="150" t="str">
        <f t="shared" si="2"/>
        <v>2026</v>
      </c>
      <c r="L566" s="80"/>
    </row>
    <row r="567" ht="22.5" hidden="1" customHeight="1">
      <c r="A567" s="68" t="s">
        <v>76</v>
      </c>
      <c r="B567" s="63" t="s">
        <v>64</v>
      </c>
      <c r="C567" s="93"/>
      <c r="D567" s="65">
        <v>46296.0</v>
      </c>
      <c r="E567" s="86"/>
      <c r="F567" s="165"/>
      <c r="G567" s="95"/>
      <c r="H567" s="115" t="s">
        <v>70</v>
      </c>
      <c r="I567" s="124" t="s">
        <v>273</v>
      </c>
      <c r="J567" s="66" t="str">
        <f t="shared" si="1"/>
        <v>10 - octubre</v>
      </c>
      <c r="K567" s="66" t="str">
        <f t="shared" si="2"/>
        <v>2026</v>
      </c>
      <c r="L567" s="69"/>
    </row>
    <row r="568" ht="22.5" hidden="1" customHeight="1">
      <c r="A568" s="77" t="s">
        <v>78</v>
      </c>
      <c r="B568" s="63" t="s">
        <v>64</v>
      </c>
      <c r="C568" s="175"/>
      <c r="D568" s="160">
        <v>46296.0</v>
      </c>
      <c r="E568" s="176"/>
      <c r="F568" s="166"/>
      <c r="G568" s="184"/>
      <c r="H568" s="185" t="s">
        <v>70</v>
      </c>
      <c r="I568" s="124" t="s">
        <v>273</v>
      </c>
      <c r="J568" s="150" t="str">
        <f t="shared" si="1"/>
        <v>10 - octubre</v>
      </c>
      <c r="K568" s="150" t="str">
        <f t="shared" si="2"/>
        <v>2026</v>
      </c>
      <c r="L568" s="80"/>
    </row>
    <row r="569" ht="22.5" hidden="1" customHeight="1">
      <c r="A569" s="68" t="s">
        <v>80</v>
      </c>
      <c r="B569" s="63" t="s">
        <v>64</v>
      </c>
      <c r="C569" s="157">
        <v>35000.0</v>
      </c>
      <c r="D569" s="65">
        <v>46296.0</v>
      </c>
      <c r="E569" s="65">
        <v>46297.0</v>
      </c>
      <c r="F569" s="138" t="s">
        <v>26</v>
      </c>
      <c r="G569" s="179" t="s">
        <v>199</v>
      </c>
      <c r="H569" s="67" t="s">
        <v>69</v>
      </c>
      <c r="I569" s="124" t="s">
        <v>273</v>
      </c>
      <c r="J569" s="66" t="str">
        <f t="shared" si="1"/>
        <v>10 - octubre</v>
      </c>
      <c r="K569" s="66" t="str">
        <f t="shared" si="2"/>
        <v>2026</v>
      </c>
      <c r="L569" s="69"/>
    </row>
    <row r="570" ht="22.5" hidden="1" customHeight="1">
      <c r="A570" s="77" t="s">
        <v>81</v>
      </c>
      <c r="B570" s="63" t="s">
        <v>64</v>
      </c>
      <c r="C570" s="175"/>
      <c r="D570" s="160">
        <v>46296.0</v>
      </c>
      <c r="E570" s="176"/>
      <c r="F570" s="166"/>
      <c r="G570" s="184"/>
      <c r="H570" s="185" t="s">
        <v>70</v>
      </c>
      <c r="I570" s="124" t="s">
        <v>273</v>
      </c>
      <c r="J570" s="150" t="str">
        <f t="shared" si="1"/>
        <v>10 - octubre</v>
      </c>
      <c r="K570" s="150" t="str">
        <f t="shared" si="2"/>
        <v>2026</v>
      </c>
      <c r="L570" s="80"/>
    </row>
    <row r="571" ht="22.5" hidden="1" customHeight="1">
      <c r="A571" s="68" t="s">
        <v>82</v>
      </c>
      <c r="B571" s="63" t="s">
        <v>64</v>
      </c>
      <c r="C571" s="157">
        <v>35000.0</v>
      </c>
      <c r="D571" s="65">
        <v>46296.0</v>
      </c>
      <c r="E571" s="129">
        <v>46303.0</v>
      </c>
      <c r="F571" s="177" t="s">
        <v>26</v>
      </c>
      <c r="G571" s="130" t="s">
        <v>335</v>
      </c>
      <c r="H571" s="131" t="s">
        <v>69</v>
      </c>
      <c r="I571" s="124" t="s">
        <v>273</v>
      </c>
      <c r="J571" s="168" t="str">
        <f t="shared" si="1"/>
        <v>10 - octubre</v>
      </c>
      <c r="K571" s="168" t="str">
        <f t="shared" si="2"/>
        <v>2026</v>
      </c>
      <c r="L571" s="69"/>
    </row>
    <row r="572" ht="22.5" hidden="1" customHeight="1">
      <c r="A572" s="77" t="s">
        <v>85</v>
      </c>
      <c r="B572" s="63" t="s">
        <v>64</v>
      </c>
      <c r="C572" s="175"/>
      <c r="D572" s="160">
        <v>46296.0</v>
      </c>
      <c r="E572" s="176"/>
      <c r="F572" s="166"/>
      <c r="G572" s="184"/>
      <c r="H572" s="185" t="s">
        <v>70</v>
      </c>
      <c r="I572" s="124" t="s">
        <v>273</v>
      </c>
      <c r="J572" s="150" t="str">
        <f t="shared" si="1"/>
        <v>10 - octubre</v>
      </c>
      <c r="K572" s="150" t="str">
        <f t="shared" si="2"/>
        <v>2026</v>
      </c>
      <c r="L572" s="192"/>
    </row>
    <row r="573" ht="22.5" hidden="1" customHeight="1">
      <c r="A573" s="68" t="s">
        <v>167</v>
      </c>
      <c r="B573" s="193" t="s">
        <v>73</v>
      </c>
      <c r="C573" s="157">
        <v>25000.0</v>
      </c>
      <c r="D573" s="65">
        <v>46054.0</v>
      </c>
      <c r="E573" s="65">
        <v>46054.0</v>
      </c>
      <c r="F573" s="87"/>
      <c r="G573" s="158" t="s">
        <v>206</v>
      </c>
      <c r="H573" s="67" t="s">
        <v>69</v>
      </c>
      <c r="I573" s="194" t="s">
        <v>274</v>
      </c>
      <c r="J573" s="66" t="str">
        <f t="shared" si="1"/>
        <v>02 - febrero</v>
      </c>
      <c r="K573" s="66" t="str">
        <f t="shared" si="2"/>
        <v>2026</v>
      </c>
      <c r="L573" s="69"/>
    </row>
    <row r="574" ht="22.5" hidden="1" customHeight="1">
      <c r="A574" s="77" t="s">
        <v>169</v>
      </c>
      <c r="B574" s="195" t="s">
        <v>73</v>
      </c>
      <c r="C574" s="175"/>
      <c r="D574" s="160">
        <v>46054.0</v>
      </c>
      <c r="E574" s="176"/>
      <c r="F574" s="84"/>
      <c r="G574" s="184"/>
      <c r="H574" s="185" t="s">
        <v>70</v>
      </c>
      <c r="I574" s="196" t="s">
        <v>274</v>
      </c>
      <c r="J574" s="150" t="str">
        <f t="shared" si="1"/>
        <v>02 - febrero</v>
      </c>
      <c r="K574" s="150" t="str">
        <f t="shared" si="2"/>
        <v>2026</v>
      </c>
      <c r="L574" s="80"/>
    </row>
    <row r="575" ht="22.5" hidden="1" customHeight="1">
      <c r="A575" s="68" t="s">
        <v>171</v>
      </c>
      <c r="B575" s="193" t="s">
        <v>73</v>
      </c>
      <c r="C575" s="93"/>
      <c r="D575" s="65">
        <v>46054.0</v>
      </c>
      <c r="E575" s="86"/>
      <c r="F575" s="87"/>
      <c r="G575" s="95"/>
      <c r="H575" s="115" t="s">
        <v>70</v>
      </c>
      <c r="I575" s="194" t="s">
        <v>274</v>
      </c>
      <c r="J575" s="66" t="str">
        <f t="shared" si="1"/>
        <v>02 - febrero</v>
      </c>
      <c r="K575" s="66" t="str">
        <f t="shared" si="2"/>
        <v>2026</v>
      </c>
      <c r="L575" s="69"/>
    </row>
    <row r="576" ht="22.5" hidden="1" customHeight="1">
      <c r="A576" s="77" t="s">
        <v>173</v>
      </c>
      <c r="B576" s="195" t="s">
        <v>73</v>
      </c>
      <c r="C576" s="159">
        <v>25000.0</v>
      </c>
      <c r="D576" s="160">
        <v>46054.0</v>
      </c>
      <c r="E576" s="160">
        <v>46054.0</v>
      </c>
      <c r="F576" s="84"/>
      <c r="G576" s="161" t="s">
        <v>206</v>
      </c>
      <c r="H576" s="162" t="s">
        <v>69</v>
      </c>
      <c r="I576" s="196" t="s">
        <v>274</v>
      </c>
      <c r="J576" s="150" t="str">
        <f t="shared" si="1"/>
        <v>02 - febrero</v>
      </c>
      <c r="K576" s="150" t="str">
        <f t="shared" si="2"/>
        <v>2026</v>
      </c>
      <c r="L576" s="80"/>
    </row>
    <row r="577" ht="22.5" hidden="1" customHeight="1">
      <c r="A577" s="68" t="s">
        <v>174</v>
      </c>
      <c r="B577" s="193" t="s">
        <v>73</v>
      </c>
      <c r="C577" s="93"/>
      <c r="D577" s="65">
        <v>46054.0</v>
      </c>
      <c r="E577" s="86"/>
      <c r="F577" s="165"/>
      <c r="G577" s="95"/>
      <c r="H577" s="115" t="s">
        <v>70</v>
      </c>
      <c r="I577" s="194" t="s">
        <v>274</v>
      </c>
      <c r="J577" s="66" t="str">
        <f t="shared" si="1"/>
        <v>02 - febrero</v>
      </c>
      <c r="K577" s="66" t="str">
        <f t="shared" si="2"/>
        <v>2026</v>
      </c>
      <c r="L577" s="69"/>
    </row>
    <row r="578" ht="22.5" hidden="1" customHeight="1">
      <c r="A578" s="77" t="s">
        <v>175</v>
      </c>
      <c r="B578" s="195" t="s">
        <v>73</v>
      </c>
      <c r="C578" s="159">
        <v>25000.0</v>
      </c>
      <c r="D578" s="160">
        <v>46054.0</v>
      </c>
      <c r="E578" s="160">
        <v>46054.0</v>
      </c>
      <c r="F578" s="166"/>
      <c r="G578" s="161" t="s">
        <v>206</v>
      </c>
      <c r="H578" s="162" t="s">
        <v>69</v>
      </c>
      <c r="I578" s="196" t="s">
        <v>274</v>
      </c>
      <c r="J578" s="150" t="str">
        <f t="shared" si="1"/>
        <v>02 - febrero</v>
      </c>
      <c r="K578" s="150" t="str">
        <f t="shared" si="2"/>
        <v>2026</v>
      </c>
      <c r="L578" s="80"/>
    </row>
    <row r="579" ht="22.5" hidden="1" customHeight="1">
      <c r="A579" s="68" t="s">
        <v>177</v>
      </c>
      <c r="B579" s="193" t="s">
        <v>73</v>
      </c>
      <c r="C579" s="157">
        <v>25000.0</v>
      </c>
      <c r="D579" s="65">
        <v>46054.0</v>
      </c>
      <c r="E579" s="65">
        <v>46054.0</v>
      </c>
      <c r="F579" s="165"/>
      <c r="G579" s="158" t="s">
        <v>206</v>
      </c>
      <c r="H579" s="67" t="s">
        <v>69</v>
      </c>
      <c r="I579" s="194" t="s">
        <v>274</v>
      </c>
      <c r="J579" s="66" t="str">
        <f t="shared" si="1"/>
        <v>02 - febrero</v>
      </c>
      <c r="K579" s="66" t="str">
        <f t="shared" si="2"/>
        <v>2026</v>
      </c>
      <c r="L579" s="69"/>
    </row>
    <row r="580" ht="22.5" hidden="1" customHeight="1">
      <c r="A580" s="77" t="s">
        <v>180</v>
      </c>
      <c r="B580" s="195" t="s">
        <v>73</v>
      </c>
      <c r="C580" s="175"/>
      <c r="D580" s="160">
        <v>46054.0</v>
      </c>
      <c r="E580" s="176"/>
      <c r="F580" s="166"/>
      <c r="G580" s="184"/>
      <c r="H580" s="185" t="s">
        <v>70</v>
      </c>
      <c r="I580" s="196" t="s">
        <v>274</v>
      </c>
      <c r="J580" s="150" t="str">
        <f t="shared" si="1"/>
        <v>02 - febrero</v>
      </c>
      <c r="K580" s="150" t="str">
        <f t="shared" si="2"/>
        <v>2026</v>
      </c>
      <c r="L580" s="80"/>
    </row>
    <row r="581" ht="22.5" hidden="1" customHeight="1">
      <c r="A581" s="68" t="s">
        <v>181</v>
      </c>
      <c r="B581" s="193" t="s">
        <v>73</v>
      </c>
      <c r="C581" s="93"/>
      <c r="D581" s="65">
        <v>46054.0</v>
      </c>
      <c r="E581" s="86"/>
      <c r="F581" s="165"/>
      <c r="G581" s="95"/>
      <c r="H581" s="67" t="s">
        <v>69</v>
      </c>
      <c r="I581" s="194" t="s">
        <v>274</v>
      </c>
      <c r="J581" s="168" t="str">
        <f t="shared" si="1"/>
        <v>02 - febrero</v>
      </c>
      <c r="K581" s="168" t="str">
        <f t="shared" si="2"/>
        <v>2026</v>
      </c>
      <c r="L581" s="69"/>
    </row>
    <row r="582" ht="22.5" hidden="1" customHeight="1">
      <c r="A582" s="77" t="s">
        <v>182</v>
      </c>
      <c r="B582" s="195" t="s">
        <v>73</v>
      </c>
      <c r="C582" s="175"/>
      <c r="D582" s="160">
        <v>46054.0</v>
      </c>
      <c r="E582" s="176"/>
      <c r="F582" s="166"/>
      <c r="G582" s="184"/>
      <c r="H582" s="185" t="s">
        <v>70</v>
      </c>
      <c r="I582" s="196" t="s">
        <v>274</v>
      </c>
      <c r="J582" s="150" t="str">
        <f t="shared" si="1"/>
        <v>02 - febrero</v>
      </c>
      <c r="K582" s="150" t="str">
        <f t="shared" si="2"/>
        <v>2026</v>
      </c>
      <c r="L582" s="80"/>
    </row>
    <row r="583" ht="22.5" hidden="1" customHeight="1">
      <c r="A583" s="68" t="s">
        <v>183</v>
      </c>
      <c r="B583" s="193" t="s">
        <v>73</v>
      </c>
      <c r="C583" s="157">
        <v>25000.0</v>
      </c>
      <c r="D583" s="65">
        <v>46054.0</v>
      </c>
      <c r="E583" s="65">
        <v>46054.0</v>
      </c>
      <c r="F583" s="87"/>
      <c r="G583" s="158" t="s">
        <v>206</v>
      </c>
      <c r="H583" s="67" t="s">
        <v>69</v>
      </c>
      <c r="I583" s="194" t="s">
        <v>274</v>
      </c>
      <c r="J583" s="66" t="str">
        <f t="shared" si="1"/>
        <v>02 - febrero</v>
      </c>
      <c r="K583" s="66" t="str">
        <f t="shared" si="2"/>
        <v>2026</v>
      </c>
      <c r="L583" s="69"/>
    </row>
    <row r="584" ht="22.5" hidden="1" customHeight="1">
      <c r="A584" s="77" t="s">
        <v>186</v>
      </c>
      <c r="B584" s="195" t="s">
        <v>73</v>
      </c>
      <c r="C584" s="175"/>
      <c r="D584" s="160">
        <v>46054.0</v>
      </c>
      <c r="E584" s="176"/>
      <c r="F584" s="84"/>
      <c r="G584" s="184"/>
      <c r="H584" s="185" t="s">
        <v>70</v>
      </c>
      <c r="I584" s="196" t="s">
        <v>274</v>
      </c>
      <c r="J584" s="150" t="str">
        <f t="shared" si="1"/>
        <v>02 - febrero</v>
      </c>
      <c r="K584" s="150" t="str">
        <f t="shared" si="2"/>
        <v>2026</v>
      </c>
      <c r="L584" s="80"/>
    </row>
    <row r="585" ht="22.5" hidden="1" customHeight="1">
      <c r="A585" s="68" t="s">
        <v>190</v>
      </c>
      <c r="B585" s="193" t="s">
        <v>73</v>
      </c>
      <c r="C585" s="157">
        <v>25000.0</v>
      </c>
      <c r="D585" s="65">
        <v>46054.0</v>
      </c>
      <c r="E585" s="65">
        <v>46054.0</v>
      </c>
      <c r="F585" s="87"/>
      <c r="G585" s="158" t="s">
        <v>206</v>
      </c>
      <c r="H585" s="67" t="s">
        <v>69</v>
      </c>
      <c r="I585" s="194" t="s">
        <v>274</v>
      </c>
      <c r="J585" s="66" t="str">
        <f t="shared" si="1"/>
        <v>02 - febrero</v>
      </c>
      <c r="K585" s="66" t="str">
        <f t="shared" si="2"/>
        <v>2026</v>
      </c>
      <c r="L585" s="69"/>
    </row>
    <row r="586" ht="22.5" hidden="1" customHeight="1">
      <c r="A586" s="77" t="s">
        <v>191</v>
      </c>
      <c r="B586" s="195" t="s">
        <v>73</v>
      </c>
      <c r="C586" s="175"/>
      <c r="D586" s="160">
        <v>46054.0</v>
      </c>
      <c r="E586" s="176"/>
      <c r="F586" s="84"/>
      <c r="G586" s="184"/>
      <c r="H586" s="185" t="s">
        <v>70</v>
      </c>
      <c r="I586" s="196" t="s">
        <v>274</v>
      </c>
      <c r="J586" s="150" t="str">
        <f t="shared" si="1"/>
        <v>02 - febrero</v>
      </c>
      <c r="K586" s="150" t="str">
        <f t="shared" si="2"/>
        <v>2026</v>
      </c>
      <c r="L586" s="80"/>
    </row>
    <row r="587" ht="22.5" hidden="1" customHeight="1">
      <c r="A587" s="68" t="s">
        <v>176</v>
      </c>
      <c r="B587" s="193" t="s">
        <v>73</v>
      </c>
      <c r="C587" s="93"/>
      <c r="D587" s="65">
        <v>46054.0</v>
      </c>
      <c r="E587" s="86"/>
      <c r="F587" s="165"/>
      <c r="G587" s="95"/>
      <c r="H587" s="115" t="s">
        <v>70</v>
      </c>
      <c r="I587" s="194" t="s">
        <v>274</v>
      </c>
      <c r="J587" s="66" t="str">
        <f t="shared" si="1"/>
        <v>02 - febrero</v>
      </c>
      <c r="K587" s="66" t="str">
        <f t="shared" si="2"/>
        <v>2026</v>
      </c>
      <c r="L587" s="69"/>
    </row>
    <row r="588" ht="22.5" hidden="1" customHeight="1">
      <c r="A588" s="77" t="s">
        <v>168</v>
      </c>
      <c r="B588" s="195" t="s">
        <v>73</v>
      </c>
      <c r="C588" s="175"/>
      <c r="D588" s="160">
        <v>46054.0</v>
      </c>
      <c r="E588" s="176"/>
      <c r="F588" s="166"/>
      <c r="G588" s="184"/>
      <c r="H588" s="185" t="s">
        <v>70</v>
      </c>
      <c r="I588" s="196" t="s">
        <v>274</v>
      </c>
      <c r="J588" s="150" t="str">
        <f t="shared" si="1"/>
        <v>02 - febrero</v>
      </c>
      <c r="K588" s="150" t="str">
        <f t="shared" si="2"/>
        <v>2026</v>
      </c>
      <c r="L588" s="80"/>
    </row>
    <row r="589" ht="22.5" hidden="1" customHeight="1">
      <c r="A589" s="68" t="s">
        <v>185</v>
      </c>
      <c r="B589" s="193" t="s">
        <v>73</v>
      </c>
      <c r="C589" s="157">
        <v>25000.0</v>
      </c>
      <c r="D589" s="65">
        <v>46054.0</v>
      </c>
      <c r="E589" s="65">
        <v>46054.0</v>
      </c>
      <c r="F589" s="87"/>
      <c r="G589" s="158" t="s">
        <v>206</v>
      </c>
      <c r="H589" s="67" t="s">
        <v>69</v>
      </c>
      <c r="I589" s="194" t="s">
        <v>274</v>
      </c>
      <c r="J589" s="66" t="str">
        <f t="shared" si="1"/>
        <v>02 - febrero</v>
      </c>
      <c r="K589" s="66" t="str">
        <f t="shared" si="2"/>
        <v>2026</v>
      </c>
      <c r="L589" s="69"/>
    </row>
    <row r="590" ht="22.5" hidden="1" customHeight="1">
      <c r="A590" s="77" t="s">
        <v>189</v>
      </c>
      <c r="B590" s="195" t="s">
        <v>73</v>
      </c>
      <c r="C590" s="175"/>
      <c r="D590" s="160">
        <v>46054.0</v>
      </c>
      <c r="E590" s="176"/>
      <c r="F590" s="166"/>
      <c r="G590" s="184"/>
      <c r="H590" s="185" t="s">
        <v>70</v>
      </c>
      <c r="I590" s="196" t="s">
        <v>274</v>
      </c>
      <c r="J590" s="150" t="str">
        <f t="shared" si="1"/>
        <v>02 - febrero</v>
      </c>
      <c r="K590" s="150" t="str">
        <f t="shared" si="2"/>
        <v>2026</v>
      </c>
      <c r="L590" s="80"/>
    </row>
    <row r="591" ht="22.5" hidden="1" customHeight="1">
      <c r="A591" s="68" t="s">
        <v>187</v>
      </c>
      <c r="B591" s="193" t="s">
        <v>73</v>
      </c>
      <c r="C591" s="157">
        <v>25000.0</v>
      </c>
      <c r="D591" s="65">
        <v>46054.0</v>
      </c>
      <c r="E591" s="65">
        <v>46054.0</v>
      </c>
      <c r="F591" s="165"/>
      <c r="G591" s="158" t="s">
        <v>206</v>
      </c>
      <c r="H591" s="67" t="s">
        <v>69</v>
      </c>
      <c r="I591" s="194" t="s">
        <v>274</v>
      </c>
      <c r="J591" s="168" t="str">
        <f t="shared" si="1"/>
        <v>02 - febrero</v>
      </c>
      <c r="K591" s="168" t="str">
        <f t="shared" si="2"/>
        <v>2026</v>
      </c>
      <c r="L591" s="69"/>
    </row>
    <row r="592" ht="22.5" hidden="1" customHeight="1">
      <c r="A592" s="77" t="s">
        <v>172</v>
      </c>
      <c r="B592" s="195" t="s">
        <v>73</v>
      </c>
      <c r="C592" s="159">
        <v>25000.0</v>
      </c>
      <c r="D592" s="160">
        <v>46054.0</v>
      </c>
      <c r="E592" s="160">
        <v>46054.0</v>
      </c>
      <c r="F592" s="166"/>
      <c r="G592" s="161" t="s">
        <v>206</v>
      </c>
      <c r="H592" s="162" t="s">
        <v>69</v>
      </c>
      <c r="I592" s="196" t="s">
        <v>274</v>
      </c>
      <c r="J592" s="150" t="str">
        <f t="shared" si="1"/>
        <v>02 - febrero</v>
      </c>
      <c r="K592" s="150" t="str">
        <f t="shared" si="2"/>
        <v>2026</v>
      </c>
      <c r="L592" s="80"/>
    </row>
    <row r="593" ht="22.5" hidden="1" customHeight="1">
      <c r="A593" s="164" t="s">
        <v>188</v>
      </c>
      <c r="B593" s="193" t="s">
        <v>73</v>
      </c>
      <c r="C593" s="93"/>
      <c r="D593" s="65">
        <v>46054.0</v>
      </c>
      <c r="E593" s="86"/>
      <c r="F593" s="87"/>
      <c r="G593" s="95"/>
      <c r="H593" s="115" t="s">
        <v>70</v>
      </c>
      <c r="I593" s="194" t="s">
        <v>274</v>
      </c>
      <c r="J593" s="66" t="str">
        <f t="shared" si="1"/>
        <v>02 - febrero</v>
      </c>
      <c r="K593" s="66" t="str">
        <f t="shared" si="2"/>
        <v>2026</v>
      </c>
      <c r="L593" s="69"/>
    </row>
    <row r="594" ht="22.5" hidden="1" customHeight="1">
      <c r="A594" s="70" t="s">
        <v>166</v>
      </c>
      <c r="B594" s="195" t="s">
        <v>73</v>
      </c>
      <c r="C594" s="197">
        <v>25000.0</v>
      </c>
      <c r="D594" s="160">
        <v>46054.0</v>
      </c>
      <c r="E594" s="160">
        <v>46054.0</v>
      </c>
      <c r="F594" s="84"/>
      <c r="G594" s="161" t="s">
        <v>206</v>
      </c>
      <c r="H594" s="162" t="s">
        <v>69</v>
      </c>
      <c r="I594" s="196" t="s">
        <v>274</v>
      </c>
      <c r="J594" s="73" t="str">
        <f t="shared" si="1"/>
        <v>02 - febrero</v>
      </c>
      <c r="K594" s="73" t="str">
        <f t="shared" si="2"/>
        <v>2026</v>
      </c>
      <c r="L594" s="80"/>
    </row>
    <row r="595" ht="22.5" hidden="1" customHeight="1">
      <c r="A595" s="62" t="s">
        <v>179</v>
      </c>
      <c r="B595" s="193" t="s">
        <v>73</v>
      </c>
      <c r="C595" s="157">
        <v>25000.0</v>
      </c>
      <c r="D595" s="65">
        <v>46054.0</v>
      </c>
      <c r="E595" s="65">
        <v>46054.0</v>
      </c>
      <c r="F595" s="87"/>
      <c r="G595" s="158" t="s">
        <v>206</v>
      </c>
      <c r="H595" s="67" t="s">
        <v>69</v>
      </c>
      <c r="I595" s="194" t="s">
        <v>274</v>
      </c>
      <c r="J595" s="66" t="str">
        <f t="shared" si="1"/>
        <v>02 - febrero</v>
      </c>
      <c r="K595" s="66" t="str">
        <f t="shared" si="2"/>
        <v>2026</v>
      </c>
      <c r="L595" s="69"/>
    </row>
    <row r="596" ht="22.5" hidden="1" customHeight="1">
      <c r="A596" s="70" t="s">
        <v>170</v>
      </c>
      <c r="B596" s="195" t="s">
        <v>73</v>
      </c>
      <c r="C596" s="197">
        <v>25000.0</v>
      </c>
      <c r="D596" s="160">
        <v>46054.0</v>
      </c>
      <c r="E596" s="160">
        <v>46054.0</v>
      </c>
      <c r="F596" s="84"/>
      <c r="G596" s="161" t="s">
        <v>206</v>
      </c>
      <c r="H596" s="162" t="s">
        <v>69</v>
      </c>
      <c r="I596" s="196" t="s">
        <v>274</v>
      </c>
      <c r="J596" s="73" t="str">
        <f t="shared" si="1"/>
        <v>02 - febrero</v>
      </c>
      <c r="K596" s="73" t="str">
        <f t="shared" si="2"/>
        <v>2026</v>
      </c>
      <c r="L596" s="80"/>
    </row>
    <row r="597" ht="22.5" hidden="1" customHeight="1">
      <c r="A597" s="62" t="s">
        <v>184</v>
      </c>
      <c r="B597" s="193" t="s">
        <v>73</v>
      </c>
      <c r="C597" s="157">
        <v>25000.0</v>
      </c>
      <c r="D597" s="65">
        <v>46054.0</v>
      </c>
      <c r="E597" s="65">
        <v>46054.0</v>
      </c>
      <c r="F597" s="87"/>
      <c r="G597" s="158" t="s">
        <v>206</v>
      </c>
      <c r="H597" s="67" t="s">
        <v>69</v>
      </c>
      <c r="I597" s="194" t="s">
        <v>274</v>
      </c>
      <c r="J597" s="66" t="str">
        <f t="shared" si="1"/>
        <v>02 - febrero</v>
      </c>
      <c r="K597" s="66" t="str">
        <f t="shared" si="2"/>
        <v>2026</v>
      </c>
      <c r="L597" s="69"/>
    </row>
    <row r="598" ht="22.5" hidden="1" customHeight="1">
      <c r="A598" s="70" t="s">
        <v>165</v>
      </c>
      <c r="B598" s="195" t="s">
        <v>73</v>
      </c>
      <c r="C598" s="197">
        <v>25000.0</v>
      </c>
      <c r="D598" s="160">
        <v>46054.0</v>
      </c>
      <c r="E598" s="160">
        <v>46054.0</v>
      </c>
      <c r="F598" s="84"/>
      <c r="G598" s="161" t="s">
        <v>206</v>
      </c>
      <c r="H598" s="162" t="s">
        <v>69</v>
      </c>
      <c r="I598" s="196" t="s">
        <v>274</v>
      </c>
      <c r="J598" s="73" t="str">
        <f t="shared" si="1"/>
        <v>02 - febrero</v>
      </c>
      <c r="K598" s="73" t="str">
        <f t="shared" si="2"/>
        <v>2026</v>
      </c>
      <c r="L598" s="80"/>
    </row>
    <row r="599" ht="22.5" hidden="1" customHeight="1">
      <c r="A599" s="68" t="s">
        <v>167</v>
      </c>
      <c r="B599" s="193" t="s">
        <v>73</v>
      </c>
      <c r="C599" s="157">
        <v>30000.0</v>
      </c>
      <c r="D599" s="65">
        <v>46082.0</v>
      </c>
      <c r="E599" s="65">
        <v>46082.0</v>
      </c>
      <c r="F599" s="87"/>
      <c r="G599" s="158" t="s">
        <v>206</v>
      </c>
      <c r="H599" s="67" t="s">
        <v>69</v>
      </c>
      <c r="I599" s="194" t="s">
        <v>274</v>
      </c>
      <c r="J599" s="66" t="str">
        <f t="shared" si="1"/>
        <v>03 - marzo</v>
      </c>
      <c r="K599" s="66" t="str">
        <f t="shared" si="2"/>
        <v>2026</v>
      </c>
      <c r="L599" s="69"/>
    </row>
    <row r="600" ht="22.5" hidden="1" customHeight="1">
      <c r="A600" s="77" t="s">
        <v>169</v>
      </c>
      <c r="B600" s="195" t="s">
        <v>73</v>
      </c>
      <c r="C600" s="159">
        <v>30000.0</v>
      </c>
      <c r="D600" s="160">
        <v>46082.0</v>
      </c>
      <c r="E600" s="160">
        <v>46082.0</v>
      </c>
      <c r="F600" s="84"/>
      <c r="G600" s="161" t="s">
        <v>206</v>
      </c>
      <c r="H600" s="162" t="s">
        <v>69</v>
      </c>
      <c r="I600" s="196" t="s">
        <v>274</v>
      </c>
      <c r="J600" s="150" t="str">
        <f t="shared" si="1"/>
        <v>03 - marzo</v>
      </c>
      <c r="K600" s="150" t="str">
        <f t="shared" si="2"/>
        <v>2026</v>
      </c>
      <c r="L600" s="80"/>
    </row>
    <row r="601" ht="22.5" hidden="1" customHeight="1">
      <c r="A601" s="68" t="s">
        <v>171</v>
      </c>
      <c r="B601" s="193" t="s">
        <v>73</v>
      </c>
      <c r="C601" s="157">
        <v>30000.0</v>
      </c>
      <c r="D601" s="65">
        <v>46082.0</v>
      </c>
      <c r="E601" s="65">
        <v>46082.0</v>
      </c>
      <c r="F601" s="87"/>
      <c r="G601" s="158" t="s">
        <v>206</v>
      </c>
      <c r="H601" s="67" t="s">
        <v>69</v>
      </c>
      <c r="I601" s="194" t="s">
        <v>274</v>
      </c>
      <c r="J601" s="66" t="str">
        <f t="shared" si="1"/>
        <v>03 - marzo</v>
      </c>
      <c r="K601" s="66" t="str">
        <f t="shared" si="2"/>
        <v>2026</v>
      </c>
      <c r="L601" s="69"/>
    </row>
    <row r="602" ht="22.5" hidden="1" customHeight="1">
      <c r="A602" s="77" t="s">
        <v>173</v>
      </c>
      <c r="B602" s="195" t="s">
        <v>73</v>
      </c>
      <c r="C602" s="159">
        <v>30000.0</v>
      </c>
      <c r="D602" s="160">
        <v>46082.0</v>
      </c>
      <c r="E602" s="160">
        <v>46082.0</v>
      </c>
      <c r="F602" s="84"/>
      <c r="G602" s="161" t="s">
        <v>206</v>
      </c>
      <c r="H602" s="162" t="s">
        <v>69</v>
      </c>
      <c r="I602" s="196" t="s">
        <v>274</v>
      </c>
      <c r="J602" s="150" t="str">
        <f t="shared" si="1"/>
        <v>03 - marzo</v>
      </c>
      <c r="K602" s="150" t="str">
        <f t="shared" si="2"/>
        <v>2026</v>
      </c>
      <c r="L602" s="80"/>
    </row>
    <row r="603" ht="22.5" hidden="1" customHeight="1">
      <c r="A603" s="68" t="s">
        <v>174</v>
      </c>
      <c r="B603" s="193" t="s">
        <v>73</v>
      </c>
      <c r="C603" s="157">
        <v>30000.0</v>
      </c>
      <c r="D603" s="65">
        <v>46082.0</v>
      </c>
      <c r="E603" s="65">
        <v>46082.0</v>
      </c>
      <c r="F603" s="165"/>
      <c r="G603" s="158" t="s">
        <v>206</v>
      </c>
      <c r="H603" s="67" t="s">
        <v>69</v>
      </c>
      <c r="I603" s="194" t="s">
        <v>274</v>
      </c>
      <c r="J603" s="66" t="str">
        <f t="shared" si="1"/>
        <v>03 - marzo</v>
      </c>
      <c r="K603" s="66" t="str">
        <f t="shared" si="2"/>
        <v>2026</v>
      </c>
      <c r="L603" s="69"/>
    </row>
    <row r="604" ht="22.5" hidden="1" customHeight="1">
      <c r="A604" s="77" t="s">
        <v>175</v>
      </c>
      <c r="B604" s="195" t="s">
        <v>73</v>
      </c>
      <c r="C604" s="159">
        <v>30000.0</v>
      </c>
      <c r="D604" s="160">
        <v>46082.0</v>
      </c>
      <c r="E604" s="160">
        <v>46082.0</v>
      </c>
      <c r="F604" s="166"/>
      <c r="G604" s="161" t="s">
        <v>206</v>
      </c>
      <c r="H604" s="162" t="s">
        <v>69</v>
      </c>
      <c r="I604" s="196" t="s">
        <v>274</v>
      </c>
      <c r="J604" s="150" t="str">
        <f t="shared" si="1"/>
        <v>03 - marzo</v>
      </c>
      <c r="K604" s="150" t="str">
        <f t="shared" si="2"/>
        <v>2026</v>
      </c>
      <c r="L604" s="80"/>
    </row>
    <row r="605" ht="22.5" hidden="1" customHeight="1">
      <c r="A605" s="68" t="s">
        <v>177</v>
      </c>
      <c r="B605" s="193" t="s">
        <v>73</v>
      </c>
      <c r="C605" s="157">
        <v>30000.0</v>
      </c>
      <c r="D605" s="65">
        <v>46082.0</v>
      </c>
      <c r="E605" s="65">
        <v>46082.0</v>
      </c>
      <c r="F605" s="165"/>
      <c r="G605" s="158" t="s">
        <v>206</v>
      </c>
      <c r="H605" s="67" t="s">
        <v>69</v>
      </c>
      <c r="I605" s="194" t="s">
        <v>274</v>
      </c>
      <c r="J605" s="66" t="str">
        <f t="shared" si="1"/>
        <v>03 - marzo</v>
      </c>
      <c r="K605" s="66" t="str">
        <f t="shared" si="2"/>
        <v>2026</v>
      </c>
      <c r="L605" s="69"/>
    </row>
    <row r="606" ht="22.5" hidden="1" customHeight="1">
      <c r="A606" s="77" t="s">
        <v>180</v>
      </c>
      <c r="B606" s="195" t="s">
        <v>73</v>
      </c>
      <c r="C606" s="159">
        <v>30000.0</v>
      </c>
      <c r="D606" s="160">
        <v>46082.0</v>
      </c>
      <c r="E606" s="160">
        <v>46082.0</v>
      </c>
      <c r="F606" s="166"/>
      <c r="G606" s="161" t="s">
        <v>206</v>
      </c>
      <c r="H606" s="162" t="s">
        <v>69</v>
      </c>
      <c r="I606" s="196" t="s">
        <v>274</v>
      </c>
      <c r="J606" s="150" t="str">
        <f t="shared" si="1"/>
        <v>03 - marzo</v>
      </c>
      <c r="K606" s="150" t="str">
        <f t="shared" si="2"/>
        <v>2026</v>
      </c>
      <c r="L606" s="80"/>
    </row>
    <row r="607" ht="22.5" hidden="1" customHeight="1">
      <c r="A607" s="68" t="s">
        <v>181</v>
      </c>
      <c r="B607" s="193" t="s">
        <v>73</v>
      </c>
      <c r="C607" s="157">
        <v>30000.0</v>
      </c>
      <c r="D607" s="65">
        <v>46082.0</v>
      </c>
      <c r="E607" s="65">
        <v>46082.0</v>
      </c>
      <c r="F607" s="165"/>
      <c r="G607" s="158" t="s">
        <v>206</v>
      </c>
      <c r="H607" s="67" t="s">
        <v>69</v>
      </c>
      <c r="I607" s="194" t="s">
        <v>274</v>
      </c>
      <c r="J607" s="168" t="str">
        <f t="shared" si="1"/>
        <v>03 - marzo</v>
      </c>
      <c r="K607" s="168" t="str">
        <f t="shared" si="2"/>
        <v>2026</v>
      </c>
      <c r="L607" s="69"/>
    </row>
    <row r="608" ht="22.5" hidden="1" customHeight="1">
      <c r="A608" s="77" t="s">
        <v>182</v>
      </c>
      <c r="B608" s="195" t="s">
        <v>73</v>
      </c>
      <c r="C608" s="175"/>
      <c r="D608" s="160">
        <v>46082.0</v>
      </c>
      <c r="E608" s="176"/>
      <c r="F608" s="166"/>
      <c r="G608" s="184"/>
      <c r="H608" s="185" t="s">
        <v>70</v>
      </c>
      <c r="I608" s="196" t="s">
        <v>274</v>
      </c>
      <c r="J608" s="150" t="str">
        <f t="shared" si="1"/>
        <v>03 - marzo</v>
      </c>
      <c r="K608" s="150" t="str">
        <f t="shared" si="2"/>
        <v>2026</v>
      </c>
      <c r="L608" s="80"/>
    </row>
    <row r="609" ht="22.5" hidden="1" customHeight="1">
      <c r="A609" s="68" t="s">
        <v>183</v>
      </c>
      <c r="B609" s="193" t="s">
        <v>73</v>
      </c>
      <c r="C609" s="157">
        <v>30000.0</v>
      </c>
      <c r="D609" s="65">
        <v>46082.0</v>
      </c>
      <c r="E609" s="65">
        <v>46082.0</v>
      </c>
      <c r="F609" s="87"/>
      <c r="G609" s="158" t="s">
        <v>206</v>
      </c>
      <c r="H609" s="67" t="s">
        <v>69</v>
      </c>
      <c r="I609" s="194" t="s">
        <v>274</v>
      </c>
      <c r="J609" s="66" t="str">
        <f t="shared" si="1"/>
        <v>03 - marzo</v>
      </c>
      <c r="K609" s="66" t="str">
        <f t="shared" si="2"/>
        <v>2026</v>
      </c>
      <c r="L609" s="69"/>
    </row>
    <row r="610" ht="22.5" hidden="1" customHeight="1">
      <c r="A610" s="77" t="s">
        <v>186</v>
      </c>
      <c r="B610" s="195" t="s">
        <v>73</v>
      </c>
      <c r="C610" s="159">
        <v>30000.0</v>
      </c>
      <c r="D610" s="160">
        <v>46082.0</v>
      </c>
      <c r="E610" s="160">
        <v>46082.0</v>
      </c>
      <c r="F610" s="84"/>
      <c r="G610" s="161" t="s">
        <v>206</v>
      </c>
      <c r="H610" s="162" t="s">
        <v>69</v>
      </c>
      <c r="I610" s="196" t="s">
        <v>274</v>
      </c>
      <c r="J610" s="150" t="str">
        <f t="shared" si="1"/>
        <v>03 - marzo</v>
      </c>
      <c r="K610" s="150" t="str">
        <f t="shared" si="2"/>
        <v>2026</v>
      </c>
      <c r="L610" s="80"/>
    </row>
    <row r="611" ht="22.5" hidden="1" customHeight="1">
      <c r="A611" s="68" t="s">
        <v>190</v>
      </c>
      <c r="B611" s="193" t="s">
        <v>73</v>
      </c>
      <c r="C611" s="157">
        <v>30000.0</v>
      </c>
      <c r="D611" s="65">
        <v>46082.0</v>
      </c>
      <c r="E611" s="65">
        <v>46082.0</v>
      </c>
      <c r="F611" s="87"/>
      <c r="G611" s="158" t="s">
        <v>206</v>
      </c>
      <c r="H611" s="67" t="s">
        <v>69</v>
      </c>
      <c r="I611" s="194" t="s">
        <v>274</v>
      </c>
      <c r="J611" s="66" t="str">
        <f t="shared" si="1"/>
        <v>03 - marzo</v>
      </c>
      <c r="K611" s="66" t="str">
        <f t="shared" si="2"/>
        <v>2026</v>
      </c>
      <c r="L611" s="69"/>
    </row>
    <row r="612" ht="22.5" hidden="1" customHeight="1">
      <c r="A612" s="77" t="s">
        <v>191</v>
      </c>
      <c r="B612" s="195" t="s">
        <v>73</v>
      </c>
      <c r="C612" s="159">
        <v>30000.0</v>
      </c>
      <c r="D612" s="160">
        <v>46082.0</v>
      </c>
      <c r="E612" s="160">
        <v>46082.0</v>
      </c>
      <c r="F612" s="84"/>
      <c r="G612" s="161" t="s">
        <v>206</v>
      </c>
      <c r="H612" s="162" t="s">
        <v>69</v>
      </c>
      <c r="I612" s="196" t="s">
        <v>274</v>
      </c>
      <c r="J612" s="150" t="str">
        <f t="shared" si="1"/>
        <v>03 - marzo</v>
      </c>
      <c r="K612" s="150" t="str">
        <f t="shared" si="2"/>
        <v>2026</v>
      </c>
      <c r="L612" s="80"/>
    </row>
    <row r="613" ht="22.5" hidden="1" customHeight="1">
      <c r="A613" s="68" t="s">
        <v>176</v>
      </c>
      <c r="B613" s="193" t="s">
        <v>73</v>
      </c>
      <c r="C613" s="93"/>
      <c r="D613" s="65">
        <v>46082.0</v>
      </c>
      <c r="E613" s="86"/>
      <c r="F613" s="165"/>
      <c r="G613" s="95"/>
      <c r="H613" s="115" t="s">
        <v>70</v>
      </c>
      <c r="I613" s="194" t="s">
        <v>274</v>
      </c>
      <c r="J613" s="66" t="str">
        <f t="shared" si="1"/>
        <v>03 - marzo</v>
      </c>
      <c r="K613" s="66" t="str">
        <f t="shared" si="2"/>
        <v>2026</v>
      </c>
      <c r="L613" s="69"/>
    </row>
    <row r="614" ht="22.5" hidden="1" customHeight="1">
      <c r="A614" s="77" t="s">
        <v>168</v>
      </c>
      <c r="B614" s="195" t="s">
        <v>73</v>
      </c>
      <c r="C614" s="159">
        <v>30000.0</v>
      </c>
      <c r="D614" s="160">
        <v>46082.0</v>
      </c>
      <c r="E614" s="160">
        <v>46082.0</v>
      </c>
      <c r="F614" s="166"/>
      <c r="G614" s="161" t="s">
        <v>206</v>
      </c>
      <c r="H614" s="162" t="s">
        <v>69</v>
      </c>
      <c r="I614" s="196" t="s">
        <v>274</v>
      </c>
      <c r="J614" s="150" t="str">
        <f t="shared" si="1"/>
        <v>03 - marzo</v>
      </c>
      <c r="K614" s="150" t="str">
        <f t="shared" si="2"/>
        <v>2026</v>
      </c>
      <c r="L614" s="80"/>
    </row>
    <row r="615" ht="22.5" hidden="1" customHeight="1">
      <c r="A615" s="68" t="s">
        <v>185</v>
      </c>
      <c r="B615" s="193" t="s">
        <v>73</v>
      </c>
      <c r="C615" s="157">
        <v>30000.0</v>
      </c>
      <c r="D615" s="65">
        <v>46082.0</v>
      </c>
      <c r="E615" s="65">
        <v>46082.0</v>
      </c>
      <c r="F615" s="87"/>
      <c r="G615" s="158" t="s">
        <v>206</v>
      </c>
      <c r="H615" s="67" t="s">
        <v>69</v>
      </c>
      <c r="I615" s="194" t="s">
        <v>274</v>
      </c>
      <c r="J615" s="66" t="str">
        <f t="shared" si="1"/>
        <v>03 - marzo</v>
      </c>
      <c r="K615" s="66" t="str">
        <f t="shared" si="2"/>
        <v>2026</v>
      </c>
      <c r="L615" s="69"/>
    </row>
    <row r="616" ht="22.5" hidden="1" customHeight="1">
      <c r="A616" s="77" t="s">
        <v>189</v>
      </c>
      <c r="B616" s="195" t="s">
        <v>73</v>
      </c>
      <c r="C616" s="159">
        <v>30000.0</v>
      </c>
      <c r="D616" s="160">
        <v>46082.0</v>
      </c>
      <c r="E616" s="160">
        <v>46082.0</v>
      </c>
      <c r="F616" s="166"/>
      <c r="G616" s="161" t="s">
        <v>206</v>
      </c>
      <c r="H616" s="162" t="s">
        <v>69</v>
      </c>
      <c r="I616" s="196" t="s">
        <v>274</v>
      </c>
      <c r="J616" s="150" t="str">
        <f t="shared" si="1"/>
        <v>03 - marzo</v>
      </c>
      <c r="K616" s="150" t="str">
        <f t="shared" si="2"/>
        <v>2026</v>
      </c>
      <c r="L616" s="80"/>
    </row>
    <row r="617" ht="22.5" hidden="1" customHeight="1">
      <c r="A617" s="68" t="s">
        <v>187</v>
      </c>
      <c r="B617" s="193" t="s">
        <v>73</v>
      </c>
      <c r="C617" s="157">
        <v>30000.0</v>
      </c>
      <c r="D617" s="65">
        <v>46082.0</v>
      </c>
      <c r="E617" s="65">
        <v>46082.0</v>
      </c>
      <c r="F617" s="165"/>
      <c r="G617" s="158" t="s">
        <v>206</v>
      </c>
      <c r="H617" s="67" t="s">
        <v>69</v>
      </c>
      <c r="I617" s="194" t="s">
        <v>274</v>
      </c>
      <c r="J617" s="168" t="str">
        <f t="shared" si="1"/>
        <v>03 - marzo</v>
      </c>
      <c r="K617" s="168" t="str">
        <f t="shared" si="2"/>
        <v>2026</v>
      </c>
      <c r="L617" s="69"/>
    </row>
    <row r="618" ht="22.5" hidden="1" customHeight="1">
      <c r="A618" s="77" t="s">
        <v>172</v>
      </c>
      <c r="B618" s="195" t="s">
        <v>73</v>
      </c>
      <c r="C618" s="175"/>
      <c r="D618" s="160">
        <v>46082.0</v>
      </c>
      <c r="E618" s="176"/>
      <c r="F618" s="166"/>
      <c r="G618" s="91"/>
      <c r="H618" s="185" t="s">
        <v>70</v>
      </c>
      <c r="I618" s="196" t="s">
        <v>274</v>
      </c>
      <c r="J618" s="150" t="str">
        <f t="shared" si="1"/>
        <v>03 - marzo</v>
      </c>
      <c r="K618" s="150" t="str">
        <f t="shared" si="2"/>
        <v>2026</v>
      </c>
      <c r="L618" s="80"/>
    </row>
    <row r="619" ht="22.5" hidden="1" customHeight="1">
      <c r="A619" s="164" t="s">
        <v>188</v>
      </c>
      <c r="B619" s="193" t="s">
        <v>73</v>
      </c>
      <c r="C619" s="93"/>
      <c r="D619" s="65">
        <v>46082.0</v>
      </c>
      <c r="E619" s="86"/>
      <c r="F619" s="87"/>
      <c r="G619" s="95"/>
      <c r="H619" s="115" t="s">
        <v>70</v>
      </c>
      <c r="I619" s="194" t="s">
        <v>274</v>
      </c>
      <c r="J619" s="66" t="str">
        <f t="shared" si="1"/>
        <v>03 - marzo</v>
      </c>
      <c r="K619" s="66" t="str">
        <f t="shared" si="2"/>
        <v>2026</v>
      </c>
      <c r="L619" s="69"/>
    </row>
    <row r="620" ht="22.5" hidden="1" customHeight="1">
      <c r="A620" s="70" t="s">
        <v>166</v>
      </c>
      <c r="B620" s="195" t="s">
        <v>73</v>
      </c>
      <c r="C620" s="90"/>
      <c r="D620" s="160">
        <v>46082.0</v>
      </c>
      <c r="E620" s="176"/>
      <c r="F620" s="84"/>
      <c r="G620" s="91"/>
      <c r="H620" s="185" t="s">
        <v>70</v>
      </c>
      <c r="I620" s="196" t="s">
        <v>274</v>
      </c>
      <c r="J620" s="73" t="str">
        <f t="shared" si="1"/>
        <v>03 - marzo</v>
      </c>
      <c r="K620" s="73" t="str">
        <f t="shared" si="2"/>
        <v>2026</v>
      </c>
      <c r="L620" s="80"/>
    </row>
    <row r="621" ht="22.5" hidden="1" customHeight="1">
      <c r="A621" s="62" t="s">
        <v>179</v>
      </c>
      <c r="B621" s="193" t="s">
        <v>73</v>
      </c>
      <c r="C621" s="157">
        <v>30000.0</v>
      </c>
      <c r="D621" s="65">
        <v>46082.0</v>
      </c>
      <c r="E621" s="65">
        <v>46082.0</v>
      </c>
      <c r="F621" s="87"/>
      <c r="G621" s="158" t="s">
        <v>206</v>
      </c>
      <c r="H621" s="67" t="s">
        <v>69</v>
      </c>
      <c r="I621" s="194" t="s">
        <v>274</v>
      </c>
      <c r="J621" s="66" t="str">
        <f t="shared" si="1"/>
        <v>03 - marzo</v>
      </c>
      <c r="K621" s="66" t="str">
        <f t="shared" si="2"/>
        <v>2026</v>
      </c>
      <c r="L621" s="69"/>
    </row>
    <row r="622" ht="22.5" hidden="1" customHeight="1">
      <c r="A622" s="70" t="s">
        <v>170</v>
      </c>
      <c r="B622" s="195" t="s">
        <v>73</v>
      </c>
      <c r="C622" s="90"/>
      <c r="D622" s="160">
        <v>46082.0</v>
      </c>
      <c r="E622" s="176"/>
      <c r="F622" s="84"/>
      <c r="G622" s="91"/>
      <c r="H622" s="185" t="s">
        <v>70</v>
      </c>
      <c r="I622" s="196" t="s">
        <v>274</v>
      </c>
      <c r="J622" s="73" t="str">
        <f t="shared" si="1"/>
        <v>03 - marzo</v>
      </c>
      <c r="K622" s="73" t="str">
        <f t="shared" si="2"/>
        <v>2026</v>
      </c>
      <c r="L622" s="80"/>
    </row>
    <row r="623" ht="22.5" hidden="1" customHeight="1">
      <c r="A623" s="62" t="s">
        <v>184</v>
      </c>
      <c r="B623" s="193" t="s">
        <v>73</v>
      </c>
      <c r="C623" s="157">
        <v>30000.0</v>
      </c>
      <c r="D623" s="65">
        <v>46082.0</v>
      </c>
      <c r="E623" s="65">
        <v>46082.0</v>
      </c>
      <c r="F623" s="87"/>
      <c r="G623" s="158" t="s">
        <v>206</v>
      </c>
      <c r="H623" s="67" t="s">
        <v>69</v>
      </c>
      <c r="I623" s="194" t="s">
        <v>274</v>
      </c>
      <c r="J623" s="66" t="str">
        <f t="shared" si="1"/>
        <v>03 - marzo</v>
      </c>
      <c r="K623" s="66" t="str">
        <f t="shared" si="2"/>
        <v>2026</v>
      </c>
      <c r="L623" s="69"/>
    </row>
    <row r="624" ht="22.5" hidden="1" customHeight="1">
      <c r="A624" s="70" t="s">
        <v>165</v>
      </c>
      <c r="B624" s="195" t="s">
        <v>73</v>
      </c>
      <c r="C624" s="197">
        <v>30000.0</v>
      </c>
      <c r="D624" s="160">
        <v>46082.0</v>
      </c>
      <c r="E624" s="160">
        <v>46082.0</v>
      </c>
      <c r="F624" s="84"/>
      <c r="G624" s="161" t="s">
        <v>206</v>
      </c>
      <c r="H624" s="162" t="s">
        <v>69</v>
      </c>
      <c r="I624" s="196" t="s">
        <v>274</v>
      </c>
      <c r="J624" s="73" t="str">
        <f t="shared" si="1"/>
        <v>03 - marzo</v>
      </c>
      <c r="K624" s="73" t="str">
        <f t="shared" si="2"/>
        <v>2026</v>
      </c>
      <c r="L624" s="80"/>
    </row>
    <row r="625" ht="22.5" hidden="1" customHeight="1">
      <c r="A625" s="68" t="s">
        <v>167</v>
      </c>
      <c r="B625" s="193" t="s">
        <v>73</v>
      </c>
      <c r="C625" s="157">
        <v>30000.0</v>
      </c>
      <c r="D625" s="65">
        <v>46113.0</v>
      </c>
      <c r="E625" s="65">
        <v>46113.0</v>
      </c>
      <c r="F625" s="87"/>
      <c r="G625" s="158" t="s">
        <v>206</v>
      </c>
      <c r="H625" s="67" t="s">
        <v>69</v>
      </c>
      <c r="I625" s="194" t="s">
        <v>274</v>
      </c>
      <c r="J625" s="66" t="str">
        <f t="shared" si="1"/>
        <v>04 - abril</v>
      </c>
      <c r="K625" s="66" t="str">
        <f t="shared" si="2"/>
        <v>2026</v>
      </c>
      <c r="L625" s="69"/>
    </row>
    <row r="626" ht="22.5" hidden="1" customHeight="1">
      <c r="A626" s="77" t="s">
        <v>169</v>
      </c>
      <c r="B626" s="195" t="s">
        <v>73</v>
      </c>
      <c r="C626" s="159">
        <v>30000.0</v>
      </c>
      <c r="D626" s="160">
        <v>46113.0</v>
      </c>
      <c r="E626" s="160">
        <v>46113.0</v>
      </c>
      <c r="F626" s="84"/>
      <c r="G626" s="161" t="s">
        <v>206</v>
      </c>
      <c r="H626" s="162" t="s">
        <v>69</v>
      </c>
      <c r="I626" s="196" t="s">
        <v>274</v>
      </c>
      <c r="J626" s="150" t="str">
        <f t="shared" si="1"/>
        <v>04 - abril</v>
      </c>
      <c r="K626" s="150" t="str">
        <f t="shared" si="2"/>
        <v>2026</v>
      </c>
      <c r="L626" s="80"/>
    </row>
    <row r="627" ht="22.5" hidden="1" customHeight="1">
      <c r="A627" s="68" t="s">
        <v>171</v>
      </c>
      <c r="B627" s="193" t="s">
        <v>73</v>
      </c>
      <c r="C627" s="93"/>
      <c r="D627" s="65">
        <v>46113.0</v>
      </c>
      <c r="E627" s="86"/>
      <c r="F627" s="87"/>
      <c r="G627" s="95"/>
      <c r="H627" s="115" t="s">
        <v>70</v>
      </c>
      <c r="I627" s="194" t="s">
        <v>274</v>
      </c>
      <c r="J627" s="66" t="str">
        <f t="shared" si="1"/>
        <v>04 - abril</v>
      </c>
      <c r="K627" s="66" t="str">
        <f t="shared" si="2"/>
        <v>2026</v>
      </c>
      <c r="L627" s="69"/>
    </row>
    <row r="628" ht="22.5" hidden="1" customHeight="1">
      <c r="A628" s="77" t="s">
        <v>173</v>
      </c>
      <c r="B628" s="195" t="s">
        <v>73</v>
      </c>
      <c r="C628" s="159">
        <v>30000.0</v>
      </c>
      <c r="D628" s="160">
        <v>46113.0</v>
      </c>
      <c r="E628" s="160">
        <v>46113.0</v>
      </c>
      <c r="F628" s="84"/>
      <c r="G628" s="161" t="s">
        <v>206</v>
      </c>
      <c r="H628" s="162" t="s">
        <v>69</v>
      </c>
      <c r="I628" s="196" t="s">
        <v>274</v>
      </c>
      <c r="J628" s="150" t="str">
        <f t="shared" si="1"/>
        <v>04 - abril</v>
      </c>
      <c r="K628" s="150" t="str">
        <f t="shared" si="2"/>
        <v>2026</v>
      </c>
      <c r="L628" s="80"/>
    </row>
    <row r="629" ht="22.5" hidden="1" customHeight="1">
      <c r="A629" s="68" t="s">
        <v>174</v>
      </c>
      <c r="B629" s="193" t="s">
        <v>73</v>
      </c>
      <c r="C629" s="157">
        <v>30000.0</v>
      </c>
      <c r="D629" s="65">
        <v>46113.0</v>
      </c>
      <c r="E629" s="65">
        <v>46113.0</v>
      </c>
      <c r="F629" s="165"/>
      <c r="G629" s="158" t="s">
        <v>206</v>
      </c>
      <c r="H629" s="67" t="s">
        <v>69</v>
      </c>
      <c r="I629" s="194" t="s">
        <v>274</v>
      </c>
      <c r="J629" s="66" t="str">
        <f t="shared" si="1"/>
        <v>04 - abril</v>
      </c>
      <c r="K629" s="66" t="str">
        <f t="shared" si="2"/>
        <v>2026</v>
      </c>
      <c r="L629" s="69"/>
    </row>
    <row r="630" ht="22.5" hidden="1" customHeight="1">
      <c r="A630" s="77" t="s">
        <v>175</v>
      </c>
      <c r="B630" s="195" t="s">
        <v>73</v>
      </c>
      <c r="C630" s="159">
        <v>30000.0</v>
      </c>
      <c r="D630" s="160">
        <v>46113.0</v>
      </c>
      <c r="E630" s="160">
        <v>46113.0</v>
      </c>
      <c r="F630" s="166"/>
      <c r="G630" s="161" t="s">
        <v>206</v>
      </c>
      <c r="H630" s="162" t="s">
        <v>69</v>
      </c>
      <c r="I630" s="196" t="s">
        <v>274</v>
      </c>
      <c r="J630" s="150" t="str">
        <f t="shared" si="1"/>
        <v>04 - abril</v>
      </c>
      <c r="K630" s="150" t="str">
        <f t="shared" si="2"/>
        <v>2026</v>
      </c>
      <c r="L630" s="80"/>
    </row>
    <row r="631" ht="22.5" hidden="1" customHeight="1">
      <c r="A631" s="68" t="s">
        <v>177</v>
      </c>
      <c r="B631" s="193" t="s">
        <v>73</v>
      </c>
      <c r="C631" s="157">
        <v>30000.0</v>
      </c>
      <c r="D631" s="65">
        <v>46113.0</v>
      </c>
      <c r="E631" s="65">
        <v>46113.0</v>
      </c>
      <c r="F631" s="165"/>
      <c r="G631" s="158" t="s">
        <v>206</v>
      </c>
      <c r="H631" s="67" t="s">
        <v>69</v>
      </c>
      <c r="I631" s="194" t="s">
        <v>274</v>
      </c>
      <c r="J631" s="66" t="str">
        <f t="shared" si="1"/>
        <v>04 - abril</v>
      </c>
      <c r="K631" s="66" t="str">
        <f t="shared" si="2"/>
        <v>2026</v>
      </c>
      <c r="L631" s="69"/>
    </row>
    <row r="632" ht="22.5" hidden="1" customHeight="1">
      <c r="A632" s="77" t="s">
        <v>180</v>
      </c>
      <c r="B632" s="195" t="s">
        <v>73</v>
      </c>
      <c r="C632" s="159">
        <v>30000.0</v>
      </c>
      <c r="D632" s="160">
        <v>46113.0</v>
      </c>
      <c r="E632" s="160">
        <v>46113.0</v>
      </c>
      <c r="F632" s="166"/>
      <c r="G632" s="161" t="s">
        <v>206</v>
      </c>
      <c r="H632" s="162" t="s">
        <v>69</v>
      </c>
      <c r="I632" s="196" t="s">
        <v>274</v>
      </c>
      <c r="J632" s="150" t="str">
        <f t="shared" si="1"/>
        <v>04 - abril</v>
      </c>
      <c r="K632" s="150" t="str">
        <f t="shared" si="2"/>
        <v>2026</v>
      </c>
      <c r="L632" s="80"/>
    </row>
    <row r="633" ht="22.5" hidden="1" customHeight="1">
      <c r="A633" s="68" t="s">
        <v>181</v>
      </c>
      <c r="B633" s="193" t="s">
        <v>73</v>
      </c>
      <c r="C633" s="157">
        <v>30000.0</v>
      </c>
      <c r="D633" s="65">
        <v>46113.0</v>
      </c>
      <c r="E633" s="65">
        <v>46113.0</v>
      </c>
      <c r="F633" s="165"/>
      <c r="G633" s="158" t="s">
        <v>206</v>
      </c>
      <c r="H633" s="67" t="s">
        <v>69</v>
      </c>
      <c r="I633" s="194" t="s">
        <v>274</v>
      </c>
      <c r="J633" s="168" t="str">
        <f t="shared" si="1"/>
        <v>04 - abril</v>
      </c>
      <c r="K633" s="168" t="str">
        <f t="shared" si="2"/>
        <v>2026</v>
      </c>
      <c r="L633" s="69"/>
    </row>
    <row r="634" ht="22.5" hidden="1" customHeight="1">
      <c r="A634" s="77" t="s">
        <v>182</v>
      </c>
      <c r="B634" s="195" t="s">
        <v>73</v>
      </c>
      <c r="C634" s="159">
        <v>30000.0</v>
      </c>
      <c r="D634" s="160">
        <v>46113.0</v>
      </c>
      <c r="E634" s="160">
        <v>46113.0</v>
      </c>
      <c r="F634" s="166"/>
      <c r="G634" s="161" t="s">
        <v>206</v>
      </c>
      <c r="H634" s="162" t="s">
        <v>69</v>
      </c>
      <c r="I634" s="196" t="s">
        <v>274</v>
      </c>
      <c r="J634" s="150" t="str">
        <f t="shared" si="1"/>
        <v>04 - abril</v>
      </c>
      <c r="K634" s="150" t="str">
        <f t="shared" si="2"/>
        <v>2026</v>
      </c>
      <c r="L634" s="80"/>
    </row>
    <row r="635" ht="22.5" hidden="1" customHeight="1">
      <c r="A635" s="68" t="s">
        <v>183</v>
      </c>
      <c r="B635" s="193" t="s">
        <v>73</v>
      </c>
      <c r="C635" s="157">
        <v>30000.0</v>
      </c>
      <c r="D635" s="65">
        <v>46113.0</v>
      </c>
      <c r="E635" s="65">
        <v>46113.0</v>
      </c>
      <c r="F635" s="87"/>
      <c r="G635" s="158" t="s">
        <v>206</v>
      </c>
      <c r="H635" s="67" t="s">
        <v>69</v>
      </c>
      <c r="I635" s="194" t="s">
        <v>274</v>
      </c>
      <c r="J635" s="66" t="str">
        <f t="shared" si="1"/>
        <v>04 - abril</v>
      </c>
      <c r="K635" s="66" t="str">
        <f t="shared" si="2"/>
        <v>2026</v>
      </c>
      <c r="L635" s="69"/>
    </row>
    <row r="636" ht="22.5" hidden="1" customHeight="1">
      <c r="A636" s="77" t="s">
        <v>186</v>
      </c>
      <c r="B636" s="195" t="s">
        <v>73</v>
      </c>
      <c r="C636" s="159">
        <v>30000.0</v>
      </c>
      <c r="D636" s="160">
        <v>46113.0</v>
      </c>
      <c r="E636" s="160">
        <v>46113.0</v>
      </c>
      <c r="F636" s="84"/>
      <c r="G636" s="161" t="s">
        <v>206</v>
      </c>
      <c r="H636" s="162" t="s">
        <v>69</v>
      </c>
      <c r="I636" s="196" t="s">
        <v>274</v>
      </c>
      <c r="J636" s="150" t="str">
        <f t="shared" si="1"/>
        <v>04 - abril</v>
      </c>
      <c r="K636" s="150" t="str">
        <f t="shared" si="2"/>
        <v>2026</v>
      </c>
      <c r="L636" s="80"/>
    </row>
    <row r="637" ht="22.5" hidden="1" customHeight="1">
      <c r="A637" s="68" t="s">
        <v>190</v>
      </c>
      <c r="B637" s="193" t="s">
        <v>73</v>
      </c>
      <c r="C637" s="157">
        <v>30000.0</v>
      </c>
      <c r="D637" s="65">
        <v>46113.0</v>
      </c>
      <c r="E637" s="65">
        <v>46113.0</v>
      </c>
      <c r="F637" s="87"/>
      <c r="G637" s="158" t="s">
        <v>206</v>
      </c>
      <c r="H637" s="67" t="s">
        <v>69</v>
      </c>
      <c r="I637" s="194" t="s">
        <v>274</v>
      </c>
      <c r="J637" s="66" t="str">
        <f t="shared" si="1"/>
        <v>04 - abril</v>
      </c>
      <c r="K637" s="66" t="str">
        <f t="shared" si="2"/>
        <v>2026</v>
      </c>
      <c r="L637" s="69"/>
    </row>
    <row r="638" ht="22.5" hidden="1" customHeight="1">
      <c r="A638" s="77" t="s">
        <v>191</v>
      </c>
      <c r="B638" s="195" t="s">
        <v>73</v>
      </c>
      <c r="C638" s="159">
        <v>30000.0</v>
      </c>
      <c r="D638" s="160">
        <v>46113.0</v>
      </c>
      <c r="E638" s="160">
        <v>46113.0</v>
      </c>
      <c r="F638" s="84"/>
      <c r="G638" s="161" t="s">
        <v>206</v>
      </c>
      <c r="H638" s="162" t="s">
        <v>69</v>
      </c>
      <c r="I638" s="196" t="s">
        <v>274</v>
      </c>
      <c r="J638" s="150" t="str">
        <f t="shared" si="1"/>
        <v>04 - abril</v>
      </c>
      <c r="K638" s="150" t="str">
        <f t="shared" si="2"/>
        <v>2026</v>
      </c>
      <c r="L638" s="80"/>
    </row>
    <row r="639" ht="22.5" hidden="1" customHeight="1">
      <c r="A639" s="68" t="s">
        <v>176</v>
      </c>
      <c r="B639" s="193" t="s">
        <v>73</v>
      </c>
      <c r="C639" s="93"/>
      <c r="D639" s="65">
        <v>46113.0</v>
      </c>
      <c r="E639" s="86"/>
      <c r="F639" s="165"/>
      <c r="G639" s="95"/>
      <c r="H639" s="115" t="s">
        <v>70</v>
      </c>
      <c r="I639" s="194" t="s">
        <v>274</v>
      </c>
      <c r="J639" s="66" t="str">
        <f t="shared" si="1"/>
        <v>04 - abril</v>
      </c>
      <c r="K639" s="66" t="str">
        <f t="shared" si="2"/>
        <v>2026</v>
      </c>
      <c r="L639" s="69"/>
    </row>
    <row r="640" ht="22.5" hidden="1" customHeight="1">
      <c r="A640" s="77" t="s">
        <v>168</v>
      </c>
      <c r="B640" s="195" t="s">
        <v>73</v>
      </c>
      <c r="C640" s="159">
        <v>30000.0</v>
      </c>
      <c r="D640" s="160">
        <v>46113.0</v>
      </c>
      <c r="E640" s="160">
        <v>46113.0</v>
      </c>
      <c r="F640" s="166"/>
      <c r="G640" s="161" t="s">
        <v>206</v>
      </c>
      <c r="H640" s="162" t="s">
        <v>69</v>
      </c>
      <c r="I640" s="196" t="s">
        <v>274</v>
      </c>
      <c r="J640" s="150" t="str">
        <f t="shared" si="1"/>
        <v>04 - abril</v>
      </c>
      <c r="K640" s="150" t="str">
        <f t="shared" si="2"/>
        <v>2026</v>
      </c>
      <c r="L640" s="80"/>
    </row>
    <row r="641" ht="22.5" hidden="1" customHeight="1">
      <c r="A641" s="68" t="s">
        <v>185</v>
      </c>
      <c r="B641" s="193" t="s">
        <v>73</v>
      </c>
      <c r="C641" s="157">
        <v>30000.0</v>
      </c>
      <c r="D641" s="65">
        <v>46113.0</v>
      </c>
      <c r="E641" s="65">
        <v>46113.0</v>
      </c>
      <c r="F641" s="87"/>
      <c r="G641" s="158" t="s">
        <v>206</v>
      </c>
      <c r="H641" s="67" t="s">
        <v>69</v>
      </c>
      <c r="I641" s="194" t="s">
        <v>274</v>
      </c>
      <c r="J641" s="66" t="str">
        <f t="shared" si="1"/>
        <v>04 - abril</v>
      </c>
      <c r="K641" s="66" t="str">
        <f t="shared" si="2"/>
        <v>2026</v>
      </c>
      <c r="L641" s="69"/>
    </row>
    <row r="642" ht="22.5" hidden="1" customHeight="1">
      <c r="A642" s="77" t="s">
        <v>189</v>
      </c>
      <c r="B642" s="195" t="s">
        <v>73</v>
      </c>
      <c r="C642" s="159">
        <v>30000.0</v>
      </c>
      <c r="D642" s="160">
        <v>46113.0</v>
      </c>
      <c r="E642" s="160">
        <v>46113.0</v>
      </c>
      <c r="F642" s="166"/>
      <c r="G642" s="161" t="s">
        <v>206</v>
      </c>
      <c r="H642" s="162" t="s">
        <v>69</v>
      </c>
      <c r="I642" s="196" t="s">
        <v>274</v>
      </c>
      <c r="J642" s="150" t="str">
        <f t="shared" si="1"/>
        <v>04 - abril</v>
      </c>
      <c r="K642" s="150" t="str">
        <f t="shared" si="2"/>
        <v>2026</v>
      </c>
      <c r="L642" s="80"/>
    </row>
    <row r="643" ht="22.5" hidden="1" customHeight="1">
      <c r="A643" s="68" t="s">
        <v>187</v>
      </c>
      <c r="B643" s="193" t="s">
        <v>73</v>
      </c>
      <c r="C643" s="157">
        <v>30000.0</v>
      </c>
      <c r="D643" s="65">
        <v>46113.0</v>
      </c>
      <c r="E643" s="65">
        <v>46113.0</v>
      </c>
      <c r="F643" s="165"/>
      <c r="G643" s="158" t="s">
        <v>206</v>
      </c>
      <c r="H643" s="67" t="s">
        <v>69</v>
      </c>
      <c r="I643" s="194" t="s">
        <v>274</v>
      </c>
      <c r="J643" s="168" t="str">
        <f t="shared" si="1"/>
        <v>04 - abril</v>
      </c>
      <c r="K643" s="168" t="str">
        <f t="shared" si="2"/>
        <v>2026</v>
      </c>
      <c r="L643" s="69"/>
    </row>
    <row r="644" ht="22.5" hidden="1" customHeight="1">
      <c r="A644" s="198" t="s">
        <v>172</v>
      </c>
      <c r="B644" s="195" t="s">
        <v>73</v>
      </c>
      <c r="C644" s="175"/>
      <c r="D644" s="160">
        <v>46113.0</v>
      </c>
      <c r="E644" s="176"/>
      <c r="F644" s="166"/>
      <c r="G644" s="91"/>
      <c r="H644" s="185" t="s">
        <v>70</v>
      </c>
      <c r="I644" s="196" t="s">
        <v>274</v>
      </c>
      <c r="J644" s="150" t="str">
        <f t="shared" si="1"/>
        <v>04 - abril</v>
      </c>
      <c r="K644" s="150" t="str">
        <f t="shared" si="2"/>
        <v>2026</v>
      </c>
      <c r="L644" s="80"/>
    </row>
    <row r="645" ht="22.5" hidden="1" customHeight="1">
      <c r="A645" s="164" t="s">
        <v>188</v>
      </c>
      <c r="B645" s="199" t="s">
        <v>73</v>
      </c>
      <c r="C645" s="93"/>
      <c r="D645" s="65">
        <v>46113.0</v>
      </c>
      <c r="E645" s="86"/>
      <c r="F645" s="87"/>
      <c r="G645" s="95"/>
      <c r="H645" s="115" t="s">
        <v>70</v>
      </c>
      <c r="I645" s="194" t="s">
        <v>274</v>
      </c>
      <c r="J645" s="66" t="str">
        <f t="shared" si="1"/>
        <v>04 - abril</v>
      </c>
      <c r="K645" s="66" t="str">
        <f t="shared" si="2"/>
        <v>2026</v>
      </c>
      <c r="L645" s="69"/>
    </row>
    <row r="646" ht="22.5" hidden="1" customHeight="1">
      <c r="A646" s="200" t="s">
        <v>166</v>
      </c>
      <c r="B646" s="201" t="s">
        <v>73</v>
      </c>
      <c r="C646" s="90"/>
      <c r="D646" s="160">
        <v>46113.0</v>
      </c>
      <c r="E646" s="176"/>
      <c r="F646" s="84"/>
      <c r="G646" s="91"/>
      <c r="H646" s="185" t="s">
        <v>70</v>
      </c>
      <c r="I646" s="196" t="s">
        <v>274</v>
      </c>
      <c r="J646" s="73" t="str">
        <f t="shared" si="1"/>
        <v>04 - abril</v>
      </c>
      <c r="K646" s="73" t="str">
        <f t="shared" si="2"/>
        <v>2026</v>
      </c>
      <c r="L646" s="80"/>
    </row>
    <row r="647" ht="22.5" hidden="1" customHeight="1">
      <c r="A647" s="202" t="s">
        <v>179</v>
      </c>
      <c r="B647" s="199" t="s">
        <v>73</v>
      </c>
      <c r="C647" s="93"/>
      <c r="D647" s="65">
        <v>46113.0</v>
      </c>
      <c r="E647" s="86"/>
      <c r="F647" s="87"/>
      <c r="G647" s="95"/>
      <c r="H647" s="115" t="s">
        <v>70</v>
      </c>
      <c r="I647" s="194" t="s">
        <v>274</v>
      </c>
      <c r="J647" s="66" t="str">
        <f t="shared" si="1"/>
        <v>04 - abril</v>
      </c>
      <c r="K647" s="66" t="str">
        <f t="shared" si="2"/>
        <v>2026</v>
      </c>
      <c r="L647" s="69"/>
    </row>
    <row r="648" ht="22.5" hidden="1" customHeight="1">
      <c r="A648" s="200" t="s">
        <v>170</v>
      </c>
      <c r="B648" s="201" t="s">
        <v>73</v>
      </c>
      <c r="C648" s="90"/>
      <c r="D648" s="160">
        <v>46113.0</v>
      </c>
      <c r="E648" s="176"/>
      <c r="F648" s="84"/>
      <c r="G648" s="91"/>
      <c r="H648" s="185" t="s">
        <v>70</v>
      </c>
      <c r="I648" s="196" t="s">
        <v>274</v>
      </c>
      <c r="J648" s="73" t="str">
        <f t="shared" si="1"/>
        <v>04 - abril</v>
      </c>
      <c r="K648" s="73" t="str">
        <f t="shared" si="2"/>
        <v>2026</v>
      </c>
      <c r="L648" s="80"/>
    </row>
    <row r="649" ht="22.5" hidden="1" customHeight="1">
      <c r="A649" s="202" t="s">
        <v>184</v>
      </c>
      <c r="B649" s="199" t="s">
        <v>73</v>
      </c>
      <c r="C649" s="93"/>
      <c r="D649" s="65">
        <v>46113.0</v>
      </c>
      <c r="E649" s="86"/>
      <c r="F649" s="87"/>
      <c r="G649" s="95"/>
      <c r="H649" s="115" t="s">
        <v>70</v>
      </c>
      <c r="I649" s="194" t="s">
        <v>274</v>
      </c>
      <c r="J649" s="66" t="str">
        <f t="shared" si="1"/>
        <v>04 - abril</v>
      </c>
      <c r="K649" s="66" t="str">
        <f t="shared" si="2"/>
        <v>2026</v>
      </c>
      <c r="L649" s="69"/>
    </row>
    <row r="650" ht="22.5" hidden="1" customHeight="1">
      <c r="A650" s="200" t="s">
        <v>165</v>
      </c>
      <c r="B650" s="201" t="s">
        <v>73</v>
      </c>
      <c r="C650" s="90"/>
      <c r="D650" s="160">
        <v>46113.0</v>
      </c>
      <c r="E650" s="176"/>
      <c r="F650" s="84"/>
      <c r="G650" s="91"/>
      <c r="H650" s="185" t="s">
        <v>70</v>
      </c>
      <c r="I650" s="196" t="s">
        <v>274</v>
      </c>
      <c r="J650" s="73" t="str">
        <f t="shared" si="1"/>
        <v>04 - abril</v>
      </c>
      <c r="K650" s="73" t="str">
        <f t="shared" si="2"/>
        <v>2026</v>
      </c>
      <c r="L650" s="80"/>
    </row>
    <row r="651" ht="22.5" hidden="1" customHeight="1">
      <c r="A651" s="203" t="s">
        <v>167</v>
      </c>
      <c r="B651" s="193" t="s">
        <v>73</v>
      </c>
      <c r="C651" s="157">
        <v>30000.0</v>
      </c>
      <c r="D651" s="65">
        <v>46143.0</v>
      </c>
      <c r="E651" s="65">
        <v>46143.0</v>
      </c>
      <c r="F651" s="87"/>
      <c r="G651" s="158" t="s">
        <v>206</v>
      </c>
      <c r="H651" s="67" t="s">
        <v>69</v>
      </c>
      <c r="I651" s="194" t="s">
        <v>274</v>
      </c>
      <c r="J651" s="66" t="str">
        <f t="shared" si="1"/>
        <v>05 - mayo</v>
      </c>
      <c r="K651" s="66" t="str">
        <f t="shared" si="2"/>
        <v>2026</v>
      </c>
      <c r="L651" s="69"/>
    </row>
    <row r="652" ht="22.5" hidden="1" customHeight="1">
      <c r="A652" s="77" t="s">
        <v>169</v>
      </c>
      <c r="B652" s="195" t="s">
        <v>73</v>
      </c>
      <c r="C652" s="159">
        <v>30000.0</v>
      </c>
      <c r="D652" s="160">
        <v>46143.0</v>
      </c>
      <c r="E652" s="160">
        <v>46143.0</v>
      </c>
      <c r="F652" s="84"/>
      <c r="G652" s="161" t="s">
        <v>206</v>
      </c>
      <c r="H652" s="162" t="s">
        <v>69</v>
      </c>
      <c r="I652" s="196" t="s">
        <v>274</v>
      </c>
      <c r="J652" s="150" t="str">
        <f t="shared" si="1"/>
        <v>05 - mayo</v>
      </c>
      <c r="K652" s="150" t="str">
        <f t="shared" si="2"/>
        <v>2026</v>
      </c>
      <c r="L652" s="80"/>
    </row>
    <row r="653" ht="22.5" hidden="1" customHeight="1">
      <c r="A653" s="68" t="s">
        <v>171</v>
      </c>
      <c r="B653" s="193" t="s">
        <v>73</v>
      </c>
      <c r="C653" s="93"/>
      <c r="D653" s="65">
        <v>46143.0</v>
      </c>
      <c r="E653" s="86"/>
      <c r="F653" s="87"/>
      <c r="G653" s="95"/>
      <c r="H653" s="115" t="s">
        <v>70</v>
      </c>
      <c r="I653" s="194" t="s">
        <v>274</v>
      </c>
      <c r="J653" s="66" t="str">
        <f t="shared" si="1"/>
        <v>05 - mayo</v>
      </c>
      <c r="K653" s="66" t="str">
        <f t="shared" si="2"/>
        <v>2026</v>
      </c>
      <c r="L653" s="69"/>
    </row>
    <row r="654" ht="22.5" hidden="1" customHeight="1">
      <c r="A654" s="77" t="s">
        <v>173</v>
      </c>
      <c r="B654" s="195" t="s">
        <v>73</v>
      </c>
      <c r="C654" s="159">
        <v>30000.0</v>
      </c>
      <c r="D654" s="160">
        <v>46143.0</v>
      </c>
      <c r="E654" s="160">
        <v>46143.0</v>
      </c>
      <c r="F654" s="84"/>
      <c r="G654" s="161" t="s">
        <v>206</v>
      </c>
      <c r="H654" s="162" t="s">
        <v>69</v>
      </c>
      <c r="I654" s="196" t="s">
        <v>274</v>
      </c>
      <c r="J654" s="150" t="str">
        <f t="shared" si="1"/>
        <v>05 - mayo</v>
      </c>
      <c r="K654" s="150" t="str">
        <f t="shared" si="2"/>
        <v>2026</v>
      </c>
      <c r="L654" s="80"/>
    </row>
    <row r="655" ht="22.5" hidden="1" customHeight="1">
      <c r="A655" s="68" t="s">
        <v>174</v>
      </c>
      <c r="B655" s="193" t="s">
        <v>73</v>
      </c>
      <c r="C655" s="157">
        <v>30000.0</v>
      </c>
      <c r="D655" s="65">
        <v>46143.0</v>
      </c>
      <c r="E655" s="65">
        <v>46143.0</v>
      </c>
      <c r="F655" s="165"/>
      <c r="G655" s="158" t="s">
        <v>206</v>
      </c>
      <c r="H655" s="67" t="s">
        <v>69</v>
      </c>
      <c r="I655" s="194" t="s">
        <v>274</v>
      </c>
      <c r="J655" s="66" t="str">
        <f t="shared" si="1"/>
        <v>05 - mayo</v>
      </c>
      <c r="K655" s="66" t="str">
        <f t="shared" si="2"/>
        <v>2026</v>
      </c>
      <c r="L655" s="69"/>
    </row>
    <row r="656" ht="22.5" hidden="1" customHeight="1">
      <c r="A656" s="77" t="s">
        <v>175</v>
      </c>
      <c r="B656" s="195" t="s">
        <v>73</v>
      </c>
      <c r="C656" s="159">
        <v>30000.0</v>
      </c>
      <c r="D656" s="160">
        <v>46143.0</v>
      </c>
      <c r="E656" s="160">
        <v>46143.0</v>
      </c>
      <c r="F656" s="166"/>
      <c r="G656" s="161" t="s">
        <v>206</v>
      </c>
      <c r="H656" s="162" t="s">
        <v>69</v>
      </c>
      <c r="I656" s="196" t="s">
        <v>274</v>
      </c>
      <c r="J656" s="150" t="str">
        <f t="shared" si="1"/>
        <v>05 - mayo</v>
      </c>
      <c r="K656" s="150" t="str">
        <f t="shared" si="2"/>
        <v>2026</v>
      </c>
      <c r="L656" s="80"/>
    </row>
    <row r="657" ht="22.5" hidden="1" customHeight="1">
      <c r="A657" s="68" t="s">
        <v>177</v>
      </c>
      <c r="B657" s="193" t="s">
        <v>73</v>
      </c>
      <c r="C657" s="157">
        <v>30000.0</v>
      </c>
      <c r="D657" s="65">
        <v>46143.0</v>
      </c>
      <c r="E657" s="65">
        <v>46143.0</v>
      </c>
      <c r="F657" s="165"/>
      <c r="G657" s="158" t="s">
        <v>206</v>
      </c>
      <c r="H657" s="67" t="s">
        <v>69</v>
      </c>
      <c r="I657" s="194" t="s">
        <v>274</v>
      </c>
      <c r="J657" s="66" t="str">
        <f t="shared" si="1"/>
        <v>05 - mayo</v>
      </c>
      <c r="K657" s="66" t="str">
        <f t="shared" si="2"/>
        <v>2026</v>
      </c>
      <c r="L657" s="69"/>
    </row>
    <row r="658" ht="22.5" hidden="1" customHeight="1">
      <c r="A658" s="77" t="s">
        <v>180</v>
      </c>
      <c r="B658" s="195" t="s">
        <v>73</v>
      </c>
      <c r="C658" s="159">
        <v>30000.0</v>
      </c>
      <c r="D658" s="160">
        <v>46143.0</v>
      </c>
      <c r="E658" s="160">
        <v>46143.0</v>
      </c>
      <c r="F658" s="166"/>
      <c r="G658" s="161" t="s">
        <v>206</v>
      </c>
      <c r="H658" s="162" t="s">
        <v>69</v>
      </c>
      <c r="I658" s="196" t="s">
        <v>274</v>
      </c>
      <c r="J658" s="150" t="str">
        <f t="shared" si="1"/>
        <v>05 - mayo</v>
      </c>
      <c r="K658" s="150" t="str">
        <f t="shared" si="2"/>
        <v>2026</v>
      </c>
      <c r="L658" s="80"/>
    </row>
    <row r="659" ht="22.5" hidden="1" customHeight="1">
      <c r="A659" s="68" t="s">
        <v>181</v>
      </c>
      <c r="B659" s="193" t="s">
        <v>73</v>
      </c>
      <c r="C659" s="157">
        <v>30000.0</v>
      </c>
      <c r="D659" s="65">
        <v>46143.0</v>
      </c>
      <c r="E659" s="65">
        <v>46143.0</v>
      </c>
      <c r="F659" s="165"/>
      <c r="G659" s="158" t="s">
        <v>206</v>
      </c>
      <c r="H659" s="67" t="s">
        <v>69</v>
      </c>
      <c r="I659" s="194" t="s">
        <v>274</v>
      </c>
      <c r="J659" s="168" t="str">
        <f t="shared" si="1"/>
        <v>05 - mayo</v>
      </c>
      <c r="K659" s="168" t="str">
        <f t="shared" si="2"/>
        <v>2026</v>
      </c>
      <c r="L659" s="69"/>
    </row>
    <row r="660" ht="22.5" hidden="1" customHeight="1">
      <c r="A660" s="77" t="s">
        <v>182</v>
      </c>
      <c r="B660" s="195" t="s">
        <v>73</v>
      </c>
      <c r="C660" s="191"/>
      <c r="D660" s="160">
        <v>46143.0</v>
      </c>
      <c r="E660" s="176"/>
      <c r="F660" s="166"/>
      <c r="G660" s="184"/>
      <c r="H660" s="204" t="s">
        <v>68</v>
      </c>
      <c r="I660" s="196" t="s">
        <v>274</v>
      </c>
      <c r="J660" s="150" t="str">
        <f t="shared" si="1"/>
        <v>05 - mayo</v>
      </c>
      <c r="K660" s="150" t="str">
        <f t="shared" si="2"/>
        <v>2026</v>
      </c>
      <c r="L660" s="92" t="s">
        <v>338</v>
      </c>
    </row>
    <row r="661" ht="22.5" hidden="1" customHeight="1">
      <c r="A661" s="68" t="s">
        <v>183</v>
      </c>
      <c r="B661" s="193" t="s">
        <v>73</v>
      </c>
      <c r="C661" s="93"/>
      <c r="D661" s="65">
        <v>46143.0</v>
      </c>
      <c r="E661" s="86"/>
      <c r="F661" s="87"/>
      <c r="G661" s="95"/>
      <c r="H661" s="115" t="s">
        <v>70</v>
      </c>
      <c r="I661" s="194" t="s">
        <v>274</v>
      </c>
      <c r="J661" s="66" t="str">
        <f t="shared" si="1"/>
        <v>05 - mayo</v>
      </c>
      <c r="K661" s="66" t="str">
        <f t="shared" si="2"/>
        <v>2026</v>
      </c>
      <c r="L661" s="69"/>
    </row>
    <row r="662" ht="22.5" hidden="1" customHeight="1">
      <c r="A662" s="77" t="s">
        <v>186</v>
      </c>
      <c r="B662" s="195" t="s">
        <v>73</v>
      </c>
      <c r="C662" s="175"/>
      <c r="D662" s="160">
        <v>46143.0</v>
      </c>
      <c r="E662" s="176"/>
      <c r="F662" s="84"/>
      <c r="G662" s="184"/>
      <c r="H662" s="185" t="s">
        <v>70</v>
      </c>
      <c r="I662" s="196" t="s">
        <v>274</v>
      </c>
      <c r="J662" s="150" t="str">
        <f t="shared" si="1"/>
        <v>05 - mayo</v>
      </c>
      <c r="K662" s="150" t="str">
        <f t="shared" si="2"/>
        <v>2026</v>
      </c>
      <c r="L662" s="80"/>
    </row>
    <row r="663" ht="22.5" hidden="1" customHeight="1">
      <c r="A663" s="68" t="s">
        <v>190</v>
      </c>
      <c r="B663" s="193" t="s">
        <v>73</v>
      </c>
      <c r="C663" s="157">
        <v>30000.0</v>
      </c>
      <c r="D663" s="65">
        <v>46143.0</v>
      </c>
      <c r="E663" s="65">
        <v>46143.0</v>
      </c>
      <c r="F663" s="87"/>
      <c r="G663" s="158" t="s">
        <v>206</v>
      </c>
      <c r="H663" s="67" t="s">
        <v>69</v>
      </c>
      <c r="I663" s="194" t="s">
        <v>274</v>
      </c>
      <c r="J663" s="66" t="str">
        <f t="shared" si="1"/>
        <v>05 - mayo</v>
      </c>
      <c r="K663" s="66" t="str">
        <f t="shared" si="2"/>
        <v>2026</v>
      </c>
      <c r="L663" s="69"/>
    </row>
    <row r="664" ht="22.5" hidden="1" customHeight="1">
      <c r="A664" s="77" t="s">
        <v>191</v>
      </c>
      <c r="B664" s="195" t="s">
        <v>73</v>
      </c>
      <c r="C664" s="159">
        <v>30000.0</v>
      </c>
      <c r="D664" s="160">
        <v>46143.0</v>
      </c>
      <c r="E664" s="160">
        <v>46143.0</v>
      </c>
      <c r="F664" s="84"/>
      <c r="G664" s="161" t="s">
        <v>206</v>
      </c>
      <c r="H664" s="162" t="s">
        <v>69</v>
      </c>
      <c r="I664" s="196" t="s">
        <v>274</v>
      </c>
      <c r="J664" s="150" t="str">
        <f t="shared" si="1"/>
        <v>05 - mayo</v>
      </c>
      <c r="K664" s="150" t="str">
        <f t="shared" si="2"/>
        <v>2026</v>
      </c>
      <c r="L664" s="80"/>
    </row>
    <row r="665" ht="22.5" hidden="1" customHeight="1">
      <c r="A665" s="68" t="s">
        <v>176</v>
      </c>
      <c r="B665" s="193" t="s">
        <v>73</v>
      </c>
      <c r="C665" s="93"/>
      <c r="D665" s="65">
        <v>46143.0</v>
      </c>
      <c r="E665" s="86"/>
      <c r="F665" s="165"/>
      <c r="G665" s="95"/>
      <c r="H665" s="115" t="s">
        <v>70</v>
      </c>
      <c r="I665" s="194" t="s">
        <v>274</v>
      </c>
      <c r="J665" s="66" t="str">
        <f t="shared" si="1"/>
        <v>05 - mayo</v>
      </c>
      <c r="K665" s="66" t="str">
        <f t="shared" si="2"/>
        <v>2026</v>
      </c>
      <c r="L665" s="69"/>
    </row>
    <row r="666" ht="22.5" hidden="1" customHeight="1">
      <c r="A666" s="77" t="s">
        <v>168</v>
      </c>
      <c r="B666" s="195" t="s">
        <v>73</v>
      </c>
      <c r="C666" s="159">
        <v>30000.0</v>
      </c>
      <c r="D666" s="160">
        <v>46143.0</v>
      </c>
      <c r="E666" s="160">
        <v>46143.0</v>
      </c>
      <c r="F666" s="166"/>
      <c r="G666" s="161" t="s">
        <v>206</v>
      </c>
      <c r="H666" s="162" t="s">
        <v>69</v>
      </c>
      <c r="I666" s="196" t="s">
        <v>274</v>
      </c>
      <c r="J666" s="150" t="str">
        <f t="shared" si="1"/>
        <v>05 - mayo</v>
      </c>
      <c r="K666" s="150" t="str">
        <f t="shared" si="2"/>
        <v>2026</v>
      </c>
      <c r="L666" s="80"/>
    </row>
    <row r="667" ht="22.5" hidden="1" customHeight="1">
      <c r="A667" s="68" t="s">
        <v>185</v>
      </c>
      <c r="B667" s="193" t="s">
        <v>73</v>
      </c>
      <c r="C667" s="157">
        <v>30000.0</v>
      </c>
      <c r="D667" s="65">
        <v>46143.0</v>
      </c>
      <c r="E667" s="65">
        <v>46143.0</v>
      </c>
      <c r="F667" s="87"/>
      <c r="G667" s="158" t="s">
        <v>206</v>
      </c>
      <c r="H667" s="67" t="s">
        <v>69</v>
      </c>
      <c r="I667" s="194" t="s">
        <v>274</v>
      </c>
      <c r="J667" s="66" t="str">
        <f t="shared" si="1"/>
        <v>05 - mayo</v>
      </c>
      <c r="K667" s="66" t="str">
        <f t="shared" si="2"/>
        <v>2026</v>
      </c>
      <c r="L667" s="69"/>
    </row>
    <row r="668" ht="22.5" hidden="1" customHeight="1">
      <c r="A668" s="77" t="s">
        <v>189</v>
      </c>
      <c r="B668" s="195" t="s">
        <v>73</v>
      </c>
      <c r="C668" s="159">
        <v>30000.0</v>
      </c>
      <c r="D668" s="160">
        <v>46143.0</v>
      </c>
      <c r="E668" s="160">
        <v>46143.0</v>
      </c>
      <c r="F668" s="166"/>
      <c r="G668" s="161" t="s">
        <v>206</v>
      </c>
      <c r="H668" s="162" t="s">
        <v>69</v>
      </c>
      <c r="I668" s="196" t="s">
        <v>274</v>
      </c>
      <c r="J668" s="150" t="str">
        <f t="shared" si="1"/>
        <v>05 - mayo</v>
      </c>
      <c r="K668" s="150" t="str">
        <f t="shared" si="2"/>
        <v>2026</v>
      </c>
      <c r="L668" s="80"/>
    </row>
    <row r="669" ht="22.5" hidden="1" customHeight="1">
      <c r="A669" s="68" t="s">
        <v>187</v>
      </c>
      <c r="B669" s="193" t="s">
        <v>73</v>
      </c>
      <c r="C669" s="157">
        <v>30000.0</v>
      </c>
      <c r="D669" s="65">
        <v>46143.0</v>
      </c>
      <c r="E669" s="65">
        <v>46143.0</v>
      </c>
      <c r="F669" s="165"/>
      <c r="G669" s="158" t="s">
        <v>206</v>
      </c>
      <c r="H669" s="67" t="s">
        <v>69</v>
      </c>
      <c r="I669" s="194" t="s">
        <v>274</v>
      </c>
      <c r="J669" s="168" t="str">
        <f t="shared" si="1"/>
        <v>05 - mayo</v>
      </c>
      <c r="K669" s="168" t="str">
        <f t="shared" si="2"/>
        <v>2026</v>
      </c>
      <c r="L669" s="69"/>
    </row>
    <row r="670" ht="22.5" hidden="1" customHeight="1">
      <c r="A670" s="77" t="s">
        <v>172</v>
      </c>
      <c r="B670" s="195" t="s">
        <v>73</v>
      </c>
      <c r="C670" s="159">
        <v>30000.0</v>
      </c>
      <c r="D670" s="160">
        <v>46143.0</v>
      </c>
      <c r="E670" s="160">
        <v>46143.0</v>
      </c>
      <c r="F670" s="166"/>
      <c r="G670" s="161" t="s">
        <v>206</v>
      </c>
      <c r="H670" s="162" t="s">
        <v>69</v>
      </c>
      <c r="I670" s="196" t="s">
        <v>274</v>
      </c>
      <c r="J670" s="150" t="str">
        <f t="shared" si="1"/>
        <v>05 - mayo</v>
      </c>
      <c r="K670" s="150" t="str">
        <f t="shared" si="2"/>
        <v>2026</v>
      </c>
      <c r="L670" s="80"/>
    </row>
    <row r="671" ht="22.5" hidden="1" customHeight="1">
      <c r="A671" s="164" t="s">
        <v>188</v>
      </c>
      <c r="B671" s="193" t="s">
        <v>73</v>
      </c>
      <c r="C671" s="157">
        <v>30000.0</v>
      </c>
      <c r="D671" s="65">
        <v>46143.0</v>
      </c>
      <c r="E671" s="65">
        <v>46143.0</v>
      </c>
      <c r="F671" s="87"/>
      <c r="G671" s="158" t="s">
        <v>206</v>
      </c>
      <c r="H671" s="67" t="s">
        <v>69</v>
      </c>
      <c r="I671" s="194" t="s">
        <v>274</v>
      </c>
      <c r="J671" s="66" t="str">
        <f t="shared" si="1"/>
        <v>05 - mayo</v>
      </c>
      <c r="K671" s="66" t="str">
        <f t="shared" si="2"/>
        <v>2026</v>
      </c>
      <c r="L671" s="69"/>
    </row>
    <row r="672" ht="22.5" hidden="1" customHeight="1">
      <c r="A672" s="70" t="s">
        <v>166</v>
      </c>
      <c r="B672" s="195" t="s">
        <v>73</v>
      </c>
      <c r="C672" s="90"/>
      <c r="D672" s="160">
        <v>46143.0</v>
      </c>
      <c r="E672" s="176"/>
      <c r="F672" s="84"/>
      <c r="G672" s="91"/>
      <c r="H672" s="185" t="s">
        <v>70</v>
      </c>
      <c r="I672" s="196" t="s">
        <v>274</v>
      </c>
      <c r="J672" s="73" t="str">
        <f t="shared" si="1"/>
        <v>05 - mayo</v>
      </c>
      <c r="K672" s="73" t="str">
        <f t="shared" si="2"/>
        <v>2026</v>
      </c>
      <c r="L672" s="80"/>
    </row>
    <row r="673" ht="22.5" hidden="1" customHeight="1">
      <c r="A673" s="62" t="s">
        <v>179</v>
      </c>
      <c r="B673" s="193" t="s">
        <v>73</v>
      </c>
      <c r="C673" s="93"/>
      <c r="D673" s="65">
        <v>46143.0</v>
      </c>
      <c r="E673" s="86"/>
      <c r="F673" s="87"/>
      <c r="G673" s="95"/>
      <c r="H673" s="115" t="s">
        <v>70</v>
      </c>
      <c r="I673" s="194" t="s">
        <v>274</v>
      </c>
      <c r="J673" s="66" t="str">
        <f t="shared" si="1"/>
        <v>05 - mayo</v>
      </c>
      <c r="K673" s="66" t="str">
        <f t="shared" si="2"/>
        <v>2026</v>
      </c>
      <c r="L673" s="69"/>
    </row>
    <row r="674" ht="22.5" hidden="1" customHeight="1">
      <c r="A674" s="70" t="s">
        <v>170</v>
      </c>
      <c r="B674" s="195" t="s">
        <v>73</v>
      </c>
      <c r="C674" s="90"/>
      <c r="D674" s="160">
        <v>46143.0</v>
      </c>
      <c r="E674" s="176"/>
      <c r="F674" s="84"/>
      <c r="G674" s="91"/>
      <c r="H674" s="185" t="s">
        <v>70</v>
      </c>
      <c r="I674" s="196" t="s">
        <v>274</v>
      </c>
      <c r="J674" s="73" t="str">
        <f t="shared" si="1"/>
        <v>05 - mayo</v>
      </c>
      <c r="K674" s="73" t="str">
        <f t="shared" si="2"/>
        <v>2026</v>
      </c>
      <c r="L674" s="80"/>
    </row>
    <row r="675" ht="22.5" hidden="1" customHeight="1">
      <c r="A675" s="62" t="s">
        <v>184</v>
      </c>
      <c r="B675" s="193" t="s">
        <v>73</v>
      </c>
      <c r="C675" s="93"/>
      <c r="D675" s="65">
        <v>46143.0</v>
      </c>
      <c r="E675" s="86"/>
      <c r="F675" s="87"/>
      <c r="G675" s="95"/>
      <c r="H675" s="115" t="s">
        <v>70</v>
      </c>
      <c r="I675" s="194" t="s">
        <v>274</v>
      </c>
      <c r="J675" s="66" t="str">
        <f t="shared" si="1"/>
        <v>05 - mayo</v>
      </c>
      <c r="K675" s="66" t="str">
        <f t="shared" si="2"/>
        <v>2026</v>
      </c>
      <c r="L675" s="69"/>
    </row>
    <row r="676" ht="22.5" hidden="1" customHeight="1">
      <c r="A676" s="70" t="s">
        <v>165</v>
      </c>
      <c r="B676" s="195" t="s">
        <v>73</v>
      </c>
      <c r="C676" s="90"/>
      <c r="D676" s="160">
        <v>46143.0</v>
      </c>
      <c r="E676" s="176"/>
      <c r="F676" s="84"/>
      <c r="G676" s="91"/>
      <c r="H676" s="185" t="s">
        <v>70</v>
      </c>
      <c r="I676" s="196" t="s">
        <v>274</v>
      </c>
      <c r="J676" s="73" t="str">
        <f t="shared" si="1"/>
        <v>05 - mayo</v>
      </c>
      <c r="K676" s="73" t="str">
        <f t="shared" si="2"/>
        <v>2026</v>
      </c>
      <c r="L676" s="80"/>
    </row>
    <row r="677" ht="22.5" hidden="1" customHeight="1">
      <c r="A677" s="68" t="s">
        <v>167</v>
      </c>
      <c r="B677" s="193" t="s">
        <v>73</v>
      </c>
      <c r="C677" s="157">
        <v>30000.0</v>
      </c>
      <c r="D677" s="65">
        <v>46174.0</v>
      </c>
      <c r="E677" s="65">
        <v>46174.0</v>
      </c>
      <c r="F677" s="87"/>
      <c r="G677" s="158" t="s">
        <v>206</v>
      </c>
      <c r="H677" s="67" t="s">
        <v>69</v>
      </c>
      <c r="I677" s="194" t="s">
        <v>274</v>
      </c>
      <c r="J677" s="66" t="str">
        <f t="shared" si="1"/>
        <v>06 - junio</v>
      </c>
      <c r="K677" s="66" t="str">
        <f t="shared" si="2"/>
        <v>2026</v>
      </c>
      <c r="L677" s="69"/>
    </row>
    <row r="678" ht="22.5" hidden="1" customHeight="1">
      <c r="A678" s="77" t="s">
        <v>169</v>
      </c>
      <c r="B678" s="195" t="s">
        <v>73</v>
      </c>
      <c r="C678" s="175"/>
      <c r="D678" s="160">
        <v>46174.0</v>
      </c>
      <c r="E678" s="176"/>
      <c r="F678" s="84"/>
      <c r="G678" s="184"/>
      <c r="H678" s="185" t="s">
        <v>70</v>
      </c>
      <c r="I678" s="196" t="s">
        <v>274</v>
      </c>
      <c r="J678" s="150" t="str">
        <f t="shared" si="1"/>
        <v>06 - junio</v>
      </c>
      <c r="K678" s="150" t="str">
        <f t="shared" si="2"/>
        <v>2026</v>
      </c>
      <c r="L678" s="80"/>
    </row>
    <row r="679" ht="22.5" hidden="1" customHeight="1">
      <c r="A679" s="68" t="s">
        <v>171</v>
      </c>
      <c r="B679" s="193" t="s">
        <v>73</v>
      </c>
      <c r="C679" s="93"/>
      <c r="D679" s="65">
        <v>46174.0</v>
      </c>
      <c r="E679" s="86"/>
      <c r="F679" s="87"/>
      <c r="G679" s="95"/>
      <c r="H679" s="115" t="s">
        <v>70</v>
      </c>
      <c r="I679" s="194" t="s">
        <v>274</v>
      </c>
      <c r="J679" s="66" t="str">
        <f t="shared" si="1"/>
        <v>06 - junio</v>
      </c>
      <c r="K679" s="66" t="str">
        <f t="shared" si="2"/>
        <v>2026</v>
      </c>
      <c r="L679" s="69"/>
    </row>
    <row r="680" ht="22.5" hidden="1" customHeight="1">
      <c r="A680" s="77" t="s">
        <v>173</v>
      </c>
      <c r="B680" s="195" t="s">
        <v>73</v>
      </c>
      <c r="C680" s="159">
        <v>30000.0</v>
      </c>
      <c r="D680" s="160">
        <v>46174.0</v>
      </c>
      <c r="E680" s="160">
        <v>46174.0</v>
      </c>
      <c r="F680" s="84"/>
      <c r="G680" s="161" t="s">
        <v>206</v>
      </c>
      <c r="H680" s="162" t="s">
        <v>69</v>
      </c>
      <c r="I680" s="196" t="s">
        <v>274</v>
      </c>
      <c r="J680" s="150" t="str">
        <f t="shared" si="1"/>
        <v>06 - junio</v>
      </c>
      <c r="K680" s="150" t="str">
        <f t="shared" si="2"/>
        <v>2026</v>
      </c>
      <c r="L680" s="80"/>
    </row>
    <row r="681" ht="22.5" hidden="1" customHeight="1">
      <c r="A681" s="68" t="s">
        <v>174</v>
      </c>
      <c r="B681" s="193" t="s">
        <v>73</v>
      </c>
      <c r="C681" s="157">
        <v>30000.0</v>
      </c>
      <c r="D681" s="65">
        <v>46174.0</v>
      </c>
      <c r="E681" s="65">
        <v>46174.0</v>
      </c>
      <c r="F681" s="165"/>
      <c r="G681" s="158" t="s">
        <v>206</v>
      </c>
      <c r="H681" s="67" t="s">
        <v>69</v>
      </c>
      <c r="I681" s="194" t="s">
        <v>274</v>
      </c>
      <c r="J681" s="66" t="str">
        <f t="shared" si="1"/>
        <v>06 - junio</v>
      </c>
      <c r="K681" s="66" t="str">
        <f t="shared" si="2"/>
        <v>2026</v>
      </c>
      <c r="L681" s="69"/>
    </row>
    <row r="682" ht="22.5" hidden="1" customHeight="1">
      <c r="A682" s="77" t="s">
        <v>175</v>
      </c>
      <c r="B682" s="195" t="s">
        <v>73</v>
      </c>
      <c r="C682" s="159">
        <v>30000.0</v>
      </c>
      <c r="D682" s="160">
        <v>46174.0</v>
      </c>
      <c r="E682" s="160">
        <v>46174.0</v>
      </c>
      <c r="F682" s="166"/>
      <c r="G682" s="161" t="s">
        <v>206</v>
      </c>
      <c r="H682" s="162" t="s">
        <v>69</v>
      </c>
      <c r="I682" s="196" t="s">
        <v>274</v>
      </c>
      <c r="J682" s="150" t="str">
        <f t="shared" si="1"/>
        <v>06 - junio</v>
      </c>
      <c r="K682" s="150" t="str">
        <f t="shared" si="2"/>
        <v>2026</v>
      </c>
      <c r="L682" s="80"/>
    </row>
    <row r="683" ht="22.5" hidden="1" customHeight="1">
      <c r="A683" s="68" t="s">
        <v>177</v>
      </c>
      <c r="B683" s="193" t="s">
        <v>73</v>
      </c>
      <c r="C683" s="157">
        <v>30000.0</v>
      </c>
      <c r="D683" s="65">
        <v>46174.0</v>
      </c>
      <c r="E683" s="65">
        <v>46174.0</v>
      </c>
      <c r="F683" s="165"/>
      <c r="G683" s="158" t="s">
        <v>206</v>
      </c>
      <c r="H683" s="67" t="s">
        <v>69</v>
      </c>
      <c r="I683" s="194" t="s">
        <v>274</v>
      </c>
      <c r="J683" s="66" t="str">
        <f t="shared" si="1"/>
        <v>06 - junio</v>
      </c>
      <c r="K683" s="66" t="str">
        <f t="shared" si="2"/>
        <v>2026</v>
      </c>
      <c r="L683" s="69"/>
    </row>
    <row r="684" ht="22.5" hidden="1" customHeight="1">
      <c r="A684" s="77" t="s">
        <v>180</v>
      </c>
      <c r="B684" s="195" t="s">
        <v>73</v>
      </c>
      <c r="C684" s="159">
        <v>30000.0</v>
      </c>
      <c r="D684" s="160">
        <v>46174.0</v>
      </c>
      <c r="E684" s="160">
        <v>46174.0</v>
      </c>
      <c r="F684" s="166"/>
      <c r="G684" s="161" t="s">
        <v>206</v>
      </c>
      <c r="H684" s="162" t="s">
        <v>69</v>
      </c>
      <c r="I684" s="196" t="s">
        <v>274</v>
      </c>
      <c r="J684" s="150" t="str">
        <f t="shared" si="1"/>
        <v>06 - junio</v>
      </c>
      <c r="K684" s="150" t="str">
        <f t="shared" si="2"/>
        <v>2026</v>
      </c>
      <c r="L684" s="80"/>
    </row>
    <row r="685" ht="22.5" hidden="1" customHeight="1">
      <c r="A685" s="68" t="s">
        <v>181</v>
      </c>
      <c r="B685" s="193" t="s">
        <v>73</v>
      </c>
      <c r="C685" s="157">
        <v>30000.0</v>
      </c>
      <c r="D685" s="65">
        <v>46174.0</v>
      </c>
      <c r="E685" s="65">
        <v>46174.0</v>
      </c>
      <c r="F685" s="165"/>
      <c r="G685" s="158" t="s">
        <v>206</v>
      </c>
      <c r="H685" s="67" t="s">
        <v>69</v>
      </c>
      <c r="I685" s="194" t="s">
        <v>274</v>
      </c>
      <c r="J685" s="168" t="str">
        <f t="shared" si="1"/>
        <v>06 - junio</v>
      </c>
      <c r="K685" s="168" t="str">
        <f t="shared" si="2"/>
        <v>2026</v>
      </c>
      <c r="L685" s="69"/>
    </row>
    <row r="686" ht="22.5" hidden="1" customHeight="1">
      <c r="A686" s="77" t="s">
        <v>182</v>
      </c>
      <c r="B686" s="195" t="s">
        <v>73</v>
      </c>
      <c r="C686" s="175"/>
      <c r="D686" s="160">
        <v>46174.0</v>
      </c>
      <c r="E686" s="176"/>
      <c r="F686" s="166"/>
      <c r="G686" s="184"/>
      <c r="H686" s="204" t="s">
        <v>68</v>
      </c>
      <c r="I686" s="196" t="s">
        <v>274</v>
      </c>
      <c r="J686" s="150" t="str">
        <f t="shared" si="1"/>
        <v>06 - junio</v>
      </c>
      <c r="K686" s="150" t="str">
        <f t="shared" si="2"/>
        <v>2026</v>
      </c>
      <c r="L686" s="92" t="s">
        <v>338</v>
      </c>
    </row>
    <row r="687" ht="22.5" hidden="1" customHeight="1">
      <c r="A687" s="68" t="s">
        <v>183</v>
      </c>
      <c r="B687" s="193" t="s">
        <v>73</v>
      </c>
      <c r="C687" s="157">
        <v>30000.0</v>
      </c>
      <c r="D687" s="65">
        <v>46174.0</v>
      </c>
      <c r="E687" s="65">
        <v>46174.0</v>
      </c>
      <c r="F687" s="87"/>
      <c r="G687" s="158" t="s">
        <v>206</v>
      </c>
      <c r="H687" s="67" t="s">
        <v>69</v>
      </c>
      <c r="I687" s="194" t="s">
        <v>274</v>
      </c>
      <c r="J687" s="66" t="str">
        <f t="shared" si="1"/>
        <v>06 - junio</v>
      </c>
      <c r="K687" s="66" t="str">
        <f t="shared" si="2"/>
        <v>2026</v>
      </c>
      <c r="L687" s="69"/>
    </row>
    <row r="688" ht="22.5" hidden="1" customHeight="1">
      <c r="A688" s="77" t="s">
        <v>186</v>
      </c>
      <c r="B688" s="195" t="s">
        <v>73</v>
      </c>
      <c r="C688" s="175"/>
      <c r="D688" s="160">
        <v>46174.0</v>
      </c>
      <c r="E688" s="176"/>
      <c r="F688" s="84"/>
      <c r="G688" s="184"/>
      <c r="H688" s="185" t="s">
        <v>70</v>
      </c>
      <c r="I688" s="196" t="s">
        <v>274</v>
      </c>
      <c r="J688" s="150" t="str">
        <f t="shared" si="1"/>
        <v>06 - junio</v>
      </c>
      <c r="K688" s="150" t="str">
        <f t="shared" si="2"/>
        <v>2026</v>
      </c>
      <c r="L688" s="80"/>
    </row>
    <row r="689" ht="22.5" hidden="1" customHeight="1">
      <c r="A689" s="68" t="s">
        <v>190</v>
      </c>
      <c r="B689" s="193" t="s">
        <v>73</v>
      </c>
      <c r="C689" s="157">
        <v>30000.0</v>
      </c>
      <c r="D689" s="65">
        <v>46174.0</v>
      </c>
      <c r="E689" s="65">
        <v>46174.0</v>
      </c>
      <c r="F689" s="87"/>
      <c r="G689" s="158" t="s">
        <v>206</v>
      </c>
      <c r="H689" s="67" t="s">
        <v>69</v>
      </c>
      <c r="I689" s="194" t="s">
        <v>274</v>
      </c>
      <c r="J689" s="66" t="str">
        <f t="shared" si="1"/>
        <v>06 - junio</v>
      </c>
      <c r="K689" s="66" t="str">
        <f t="shared" si="2"/>
        <v>2026</v>
      </c>
      <c r="L689" s="69"/>
    </row>
    <row r="690" ht="22.5" hidden="1" customHeight="1">
      <c r="A690" s="77" t="s">
        <v>191</v>
      </c>
      <c r="B690" s="195" t="s">
        <v>73</v>
      </c>
      <c r="C690" s="159">
        <v>30000.0</v>
      </c>
      <c r="D690" s="160">
        <v>46174.0</v>
      </c>
      <c r="E690" s="160">
        <v>46174.0</v>
      </c>
      <c r="F690" s="84"/>
      <c r="G690" s="161" t="s">
        <v>206</v>
      </c>
      <c r="H690" s="162" t="s">
        <v>69</v>
      </c>
      <c r="I690" s="196" t="s">
        <v>274</v>
      </c>
      <c r="J690" s="150" t="str">
        <f t="shared" si="1"/>
        <v>06 - junio</v>
      </c>
      <c r="K690" s="150" t="str">
        <f t="shared" si="2"/>
        <v>2026</v>
      </c>
      <c r="L690" s="80"/>
    </row>
    <row r="691" ht="22.5" hidden="1" customHeight="1">
      <c r="A691" s="68" t="s">
        <v>176</v>
      </c>
      <c r="B691" s="193" t="s">
        <v>73</v>
      </c>
      <c r="C691" s="157">
        <v>30000.0</v>
      </c>
      <c r="D691" s="65">
        <v>46174.0</v>
      </c>
      <c r="E691" s="65">
        <v>46174.0</v>
      </c>
      <c r="F691" s="165"/>
      <c r="G691" s="158" t="s">
        <v>206</v>
      </c>
      <c r="H691" s="67" t="s">
        <v>69</v>
      </c>
      <c r="I691" s="194" t="s">
        <v>274</v>
      </c>
      <c r="J691" s="66" t="str">
        <f t="shared" si="1"/>
        <v>06 - junio</v>
      </c>
      <c r="K691" s="66" t="str">
        <f t="shared" si="2"/>
        <v>2026</v>
      </c>
      <c r="L691" s="69"/>
    </row>
    <row r="692" ht="22.5" hidden="1" customHeight="1">
      <c r="A692" s="77" t="s">
        <v>168</v>
      </c>
      <c r="B692" s="195" t="s">
        <v>73</v>
      </c>
      <c r="C692" s="159">
        <v>30000.0</v>
      </c>
      <c r="D692" s="160">
        <v>46174.0</v>
      </c>
      <c r="E692" s="160">
        <v>46174.0</v>
      </c>
      <c r="F692" s="166"/>
      <c r="G692" s="161" t="s">
        <v>206</v>
      </c>
      <c r="H692" s="162" t="s">
        <v>69</v>
      </c>
      <c r="I692" s="196" t="s">
        <v>274</v>
      </c>
      <c r="J692" s="150" t="str">
        <f t="shared" si="1"/>
        <v>06 - junio</v>
      </c>
      <c r="K692" s="150" t="str">
        <f t="shared" si="2"/>
        <v>2026</v>
      </c>
      <c r="L692" s="80"/>
    </row>
    <row r="693" ht="22.5" hidden="1" customHeight="1">
      <c r="A693" s="68" t="s">
        <v>185</v>
      </c>
      <c r="B693" s="193" t="s">
        <v>73</v>
      </c>
      <c r="C693" s="157">
        <v>30000.0</v>
      </c>
      <c r="D693" s="65">
        <v>46174.0</v>
      </c>
      <c r="E693" s="65">
        <v>46174.0</v>
      </c>
      <c r="F693" s="87"/>
      <c r="G693" s="158" t="s">
        <v>206</v>
      </c>
      <c r="H693" s="67" t="s">
        <v>69</v>
      </c>
      <c r="I693" s="194" t="s">
        <v>274</v>
      </c>
      <c r="J693" s="66" t="str">
        <f t="shared" si="1"/>
        <v>06 - junio</v>
      </c>
      <c r="K693" s="66" t="str">
        <f t="shared" si="2"/>
        <v>2026</v>
      </c>
      <c r="L693" s="69"/>
    </row>
    <row r="694" ht="22.5" hidden="1" customHeight="1">
      <c r="A694" s="77" t="s">
        <v>189</v>
      </c>
      <c r="B694" s="195" t="s">
        <v>73</v>
      </c>
      <c r="C694" s="159">
        <v>30000.0</v>
      </c>
      <c r="D694" s="160">
        <v>46174.0</v>
      </c>
      <c r="E694" s="160">
        <v>46174.0</v>
      </c>
      <c r="F694" s="166"/>
      <c r="G694" s="161" t="s">
        <v>206</v>
      </c>
      <c r="H694" s="162" t="s">
        <v>69</v>
      </c>
      <c r="I694" s="196" t="s">
        <v>274</v>
      </c>
      <c r="J694" s="150" t="str">
        <f t="shared" si="1"/>
        <v>06 - junio</v>
      </c>
      <c r="K694" s="150" t="str">
        <f t="shared" si="2"/>
        <v>2026</v>
      </c>
      <c r="L694" s="80"/>
    </row>
    <row r="695" ht="22.5" hidden="1" customHeight="1">
      <c r="A695" s="68" t="s">
        <v>187</v>
      </c>
      <c r="B695" s="193" t="s">
        <v>73</v>
      </c>
      <c r="C695" s="157">
        <v>30000.0</v>
      </c>
      <c r="D695" s="65">
        <v>46174.0</v>
      </c>
      <c r="E695" s="65">
        <v>46174.0</v>
      </c>
      <c r="F695" s="165"/>
      <c r="G695" s="158" t="s">
        <v>206</v>
      </c>
      <c r="H695" s="67" t="s">
        <v>69</v>
      </c>
      <c r="I695" s="194" t="s">
        <v>274</v>
      </c>
      <c r="J695" s="168" t="str">
        <f t="shared" si="1"/>
        <v>06 - junio</v>
      </c>
      <c r="K695" s="168" t="str">
        <f t="shared" si="2"/>
        <v>2026</v>
      </c>
      <c r="L695" s="69"/>
    </row>
    <row r="696" ht="22.5" hidden="1" customHeight="1">
      <c r="A696" s="77" t="s">
        <v>172</v>
      </c>
      <c r="B696" s="195" t="s">
        <v>73</v>
      </c>
      <c r="C696" s="159">
        <v>30000.0</v>
      </c>
      <c r="D696" s="160">
        <v>46174.0</v>
      </c>
      <c r="E696" s="160">
        <v>46174.0</v>
      </c>
      <c r="F696" s="166"/>
      <c r="G696" s="161" t="s">
        <v>206</v>
      </c>
      <c r="H696" s="162" t="s">
        <v>69</v>
      </c>
      <c r="I696" s="196" t="s">
        <v>274</v>
      </c>
      <c r="J696" s="150" t="str">
        <f t="shared" si="1"/>
        <v>06 - junio</v>
      </c>
      <c r="K696" s="150" t="str">
        <f t="shared" si="2"/>
        <v>2026</v>
      </c>
      <c r="L696" s="80"/>
    </row>
    <row r="697" ht="22.5" hidden="1" customHeight="1">
      <c r="A697" s="164" t="s">
        <v>188</v>
      </c>
      <c r="B697" s="193" t="s">
        <v>73</v>
      </c>
      <c r="C697" s="157">
        <v>30000.0</v>
      </c>
      <c r="D697" s="65">
        <v>46174.0</v>
      </c>
      <c r="E697" s="65">
        <v>46174.0</v>
      </c>
      <c r="F697" s="87"/>
      <c r="G697" s="158" t="s">
        <v>206</v>
      </c>
      <c r="H697" s="67" t="s">
        <v>69</v>
      </c>
      <c r="I697" s="194" t="s">
        <v>274</v>
      </c>
      <c r="J697" s="66" t="str">
        <f t="shared" si="1"/>
        <v>06 - junio</v>
      </c>
      <c r="K697" s="66" t="str">
        <f t="shared" si="2"/>
        <v>2026</v>
      </c>
      <c r="L697" s="69"/>
    </row>
    <row r="698" ht="22.5" hidden="1" customHeight="1">
      <c r="A698" s="70" t="s">
        <v>166</v>
      </c>
      <c r="B698" s="195" t="s">
        <v>73</v>
      </c>
      <c r="C698" s="90"/>
      <c r="D698" s="160">
        <v>46174.0</v>
      </c>
      <c r="E698" s="176"/>
      <c r="F698" s="84"/>
      <c r="G698" s="91"/>
      <c r="H698" s="185" t="s">
        <v>70</v>
      </c>
      <c r="I698" s="196" t="s">
        <v>274</v>
      </c>
      <c r="J698" s="73" t="str">
        <f t="shared" si="1"/>
        <v>06 - junio</v>
      </c>
      <c r="K698" s="73" t="str">
        <f t="shared" si="2"/>
        <v>2026</v>
      </c>
      <c r="L698" s="80"/>
    </row>
    <row r="699" ht="22.5" hidden="1" customHeight="1">
      <c r="A699" s="62" t="s">
        <v>179</v>
      </c>
      <c r="B699" s="193" t="s">
        <v>73</v>
      </c>
      <c r="C699" s="93"/>
      <c r="D699" s="65">
        <v>46174.0</v>
      </c>
      <c r="E699" s="86"/>
      <c r="F699" s="87"/>
      <c r="G699" s="95"/>
      <c r="H699" s="115" t="s">
        <v>70</v>
      </c>
      <c r="I699" s="194" t="s">
        <v>274</v>
      </c>
      <c r="J699" s="66" t="str">
        <f t="shared" si="1"/>
        <v>06 - junio</v>
      </c>
      <c r="K699" s="66" t="str">
        <f t="shared" si="2"/>
        <v>2026</v>
      </c>
      <c r="L699" s="69"/>
    </row>
    <row r="700" ht="22.5" hidden="1" customHeight="1">
      <c r="A700" s="70" t="s">
        <v>170</v>
      </c>
      <c r="B700" s="195" t="s">
        <v>73</v>
      </c>
      <c r="C700" s="90"/>
      <c r="D700" s="160">
        <v>46174.0</v>
      </c>
      <c r="E700" s="176"/>
      <c r="F700" s="84"/>
      <c r="G700" s="91"/>
      <c r="H700" s="185" t="s">
        <v>70</v>
      </c>
      <c r="I700" s="196" t="s">
        <v>274</v>
      </c>
      <c r="J700" s="73" t="str">
        <f t="shared" si="1"/>
        <v>06 - junio</v>
      </c>
      <c r="K700" s="73" t="str">
        <f t="shared" si="2"/>
        <v>2026</v>
      </c>
      <c r="L700" s="80"/>
    </row>
    <row r="701" ht="22.5" hidden="1" customHeight="1">
      <c r="A701" s="62" t="s">
        <v>184</v>
      </c>
      <c r="B701" s="193" t="s">
        <v>73</v>
      </c>
      <c r="C701" s="93"/>
      <c r="D701" s="65">
        <v>46174.0</v>
      </c>
      <c r="E701" s="86"/>
      <c r="F701" s="87"/>
      <c r="G701" s="95"/>
      <c r="H701" s="115" t="s">
        <v>70</v>
      </c>
      <c r="I701" s="194" t="s">
        <v>274</v>
      </c>
      <c r="J701" s="66" t="str">
        <f t="shared" si="1"/>
        <v>06 - junio</v>
      </c>
      <c r="K701" s="66" t="str">
        <f t="shared" si="2"/>
        <v>2026</v>
      </c>
      <c r="L701" s="69"/>
    </row>
    <row r="702" ht="22.5" hidden="1" customHeight="1">
      <c r="A702" s="70" t="s">
        <v>165</v>
      </c>
      <c r="B702" s="195" t="s">
        <v>73</v>
      </c>
      <c r="C702" s="90"/>
      <c r="D702" s="160">
        <v>46174.0</v>
      </c>
      <c r="E702" s="176"/>
      <c r="F702" s="84"/>
      <c r="G702" s="91"/>
      <c r="H702" s="185" t="s">
        <v>70</v>
      </c>
      <c r="I702" s="196" t="s">
        <v>274</v>
      </c>
      <c r="J702" s="73" t="str">
        <f t="shared" si="1"/>
        <v>06 - junio</v>
      </c>
      <c r="K702" s="73" t="str">
        <f t="shared" si="2"/>
        <v>2026</v>
      </c>
      <c r="L702" s="80"/>
    </row>
    <row r="703" ht="22.5" hidden="1" customHeight="1">
      <c r="A703" s="68" t="s">
        <v>167</v>
      </c>
      <c r="B703" s="193" t="s">
        <v>73</v>
      </c>
      <c r="C703" s="157">
        <v>30000.0</v>
      </c>
      <c r="D703" s="65">
        <v>46204.0</v>
      </c>
      <c r="E703" s="65">
        <v>46204.0</v>
      </c>
      <c r="F703" s="87"/>
      <c r="G703" s="158" t="s">
        <v>206</v>
      </c>
      <c r="H703" s="67" t="s">
        <v>69</v>
      </c>
      <c r="I703" s="194" t="s">
        <v>274</v>
      </c>
      <c r="J703" s="66" t="str">
        <f t="shared" si="1"/>
        <v>07 - julio</v>
      </c>
      <c r="K703" s="66" t="str">
        <f t="shared" si="2"/>
        <v>2026</v>
      </c>
      <c r="L703" s="69"/>
    </row>
    <row r="704" ht="22.5" hidden="1" customHeight="1">
      <c r="A704" s="77" t="s">
        <v>169</v>
      </c>
      <c r="B704" s="195" t="s">
        <v>73</v>
      </c>
      <c r="C704" s="175"/>
      <c r="D704" s="160">
        <v>46204.0</v>
      </c>
      <c r="E704" s="176"/>
      <c r="F704" s="84"/>
      <c r="G704" s="184"/>
      <c r="H704" s="185" t="s">
        <v>70</v>
      </c>
      <c r="I704" s="196" t="s">
        <v>274</v>
      </c>
      <c r="J704" s="150" t="str">
        <f t="shared" si="1"/>
        <v>07 - julio</v>
      </c>
      <c r="K704" s="150" t="str">
        <f t="shared" si="2"/>
        <v>2026</v>
      </c>
      <c r="L704" s="80"/>
    </row>
    <row r="705" ht="22.5" hidden="1" customHeight="1">
      <c r="A705" s="68" t="s">
        <v>171</v>
      </c>
      <c r="B705" s="193" t="s">
        <v>73</v>
      </c>
      <c r="C705" s="93"/>
      <c r="D705" s="65">
        <v>46204.0</v>
      </c>
      <c r="E705" s="86"/>
      <c r="F705" s="87"/>
      <c r="G705" s="95"/>
      <c r="H705" s="115" t="s">
        <v>70</v>
      </c>
      <c r="I705" s="194" t="s">
        <v>274</v>
      </c>
      <c r="J705" s="66" t="str">
        <f t="shared" si="1"/>
        <v>07 - julio</v>
      </c>
      <c r="K705" s="66" t="str">
        <f t="shared" si="2"/>
        <v>2026</v>
      </c>
      <c r="L705" s="69"/>
    </row>
    <row r="706" ht="22.5" hidden="1" customHeight="1">
      <c r="A706" s="77" t="s">
        <v>173</v>
      </c>
      <c r="B706" s="195" t="s">
        <v>73</v>
      </c>
      <c r="C706" s="159">
        <v>30000.0</v>
      </c>
      <c r="D706" s="160">
        <v>46204.0</v>
      </c>
      <c r="E706" s="160">
        <v>46204.0</v>
      </c>
      <c r="F706" s="84"/>
      <c r="G706" s="161" t="s">
        <v>206</v>
      </c>
      <c r="H706" s="162" t="s">
        <v>69</v>
      </c>
      <c r="I706" s="196" t="s">
        <v>274</v>
      </c>
      <c r="J706" s="150" t="str">
        <f t="shared" si="1"/>
        <v>07 - julio</v>
      </c>
      <c r="K706" s="150" t="str">
        <f t="shared" si="2"/>
        <v>2026</v>
      </c>
      <c r="L706" s="80"/>
    </row>
    <row r="707" ht="22.5" hidden="1" customHeight="1">
      <c r="A707" s="68" t="s">
        <v>174</v>
      </c>
      <c r="B707" s="193" t="s">
        <v>73</v>
      </c>
      <c r="C707" s="157">
        <v>30000.0</v>
      </c>
      <c r="D707" s="65">
        <v>46204.0</v>
      </c>
      <c r="E707" s="65">
        <v>46204.0</v>
      </c>
      <c r="F707" s="165"/>
      <c r="G707" s="158" t="s">
        <v>206</v>
      </c>
      <c r="H707" s="67" t="s">
        <v>69</v>
      </c>
      <c r="I707" s="194" t="s">
        <v>274</v>
      </c>
      <c r="J707" s="66" t="str">
        <f t="shared" si="1"/>
        <v>07 - julio</v>
      </c>
      <c r="K707" s="66" t="str">
        <f t="shared" si="2"/>
        <v>2026</v>
      </c>
      <c r="L707" s="69"/>
    </row>
    <row r="708" ht="22.5" hidden="1" customHeight="1">
      <c r="A708" s="77" t="s">
        <v>175</v>
      </c>
      <c r="B708" s="195" t="s">
        <v>73</v>
      </c>
      <c r="C708" s="159">
        <v>30000.0</v>
      </c>
      <c r="D708" s="160">
        <v>46204.0</v>
      </c>
      <c r="E708" s="160">
        <v>46204.0</v>
      </c>
      <c r="F708" s="166"/>
      <c r="G708" s="161" t="s">
        <v>206</v>
      </c>
      <c r="H708" s="162" t="s">
        <v>69</v>
      </c>
      <c r="I708" s="196" t="s">
        <v>274</v>
      </c>
      <c r="J708" s="150" t="str">
        <f t="shared" si="1"/>
        <v>07 - julio</v>
      </c>
      <c r="K708" s="150" t="str">
        <f t="shared" si="2"/>
        <v>2026</v>
      </c>
      <c r="L708" s="80"/>
    </row>
    <row r="709" ht="22.5" hidden="1" customHeight="1">
      <c r="A709" s="68" t="s">
        <v>177</v>
      </c>
      <c r="B709" s="193" t="s">
        <v>73</v>
      </c>
      <c r="C709" s="157">
        <v>35000.0</v>
      </c>
      <c r="D709" s="65">
        <v>46204.0</v>
      </c>
      <c r="E709" s="65">
        <v>46235.0</v>
      </c>
      <c r="F709" s="165"/>
      <c r="G709" s="158" t="s">
        <v>206</v>
      </c>
      <c r="H709" s="67" t="s">
        <v>69</v>
      </c>
      <c r="I709" s="194" t="s">
        <v>274</v>
      </c>
      <c r="J709" s="66" t="str">
        <f t="shared" si="1"/>
        <v>07 - julio</v>
      </c>
      <c r="K709" s="66" t="str">
        <f t="shared" si="2"/>
        <v>2026</v>
      </c>
      <c r="L709" s="69"/>
    </row>
    <row r="710" ht="22.5" hidden="1" customHeight="1">
      <c r="A710" s="77" t="s">
        <v>180</v>
      </c>
      <c r="B710" s="195" t="s">
        <v>73</v>
      </c>
      <c r="C710" s="159">
        <v>30000.0</v>
      </c>
      <c r="D710" s="160">
        <v>46204.0</v>
      </c>
      <c r="E710" s="160">
        <v>46204.0</v>
      </c>
      <c r="F710" s="166"/>
      <c r="G710" s="161" t="s">
        <v>206</v>
      </c>
      <c r="H710" s="162" t="s">
        <v>69</v>
      </c>
      <c r="I710" s="196" t="s">
        <v>274</v>
      </c>
      <c r="J710" s="150" t="str">
        <f t="shared" si="1"/>
        <v>07 - julio</v>
      </c>
      <c r="K710" s="150" t="str">
        <f t="shared" si="2"/>
        <v>2026</v>
      </c>
      <c r="L710" s="80"/>
    </row>
    <row r="711" ht="22.5" hidden="1" customHeight="1">
      <c r="A711" s="68" t="s">
        <v>181</v>
      </c>
      <c r="B711" s="193" t="s">
        <v>73</v>
      </c>
      <c r="C711" s="157">
        <v>30000.0</v>
      </c>
      <c r="D711" s="65">
        <v>46204.0</v>
      </c>
      <c r="E711" s="65">
        <v>46204.0</v>
      </c>
      <c r="F711" s="165"/>
      <c r="G711" s="158" t="s">
        <v>206</v>
      </c>
      <c r="H711" s="67" t="s">
        <v>69</v>
      </c>
      <c r="I711" s="194" t="s">
        <v>274</v>
      </c>
      <c r="J711" s="168" t="str">
        <f t="shared" si="1"/>
        <v>07 - julio</v>
      </c>
      <c r="K711" s="168" t="str">
        <f t="shared" si="2"/>
        <v>2026</v>
      </c>
      <c r="L711" s="69"/>
    </row>
    <row r="712" ht="22.5" hidden="1" customHeight="1">
      <c r="A712" s="77" t="s">
        <v>182</v>
      </c>
      <c r="B712" s="195" t="s">
        <v>73</v>
      </c>
      <c r="C712" s="175"/>
      <c r="D712" s="160">
        <v>46204.0</v>
      </c>
      <c r="E712" s="176"/>
      <c r="F712" s="166"/>
      <c r="G712" s="184"/>
      <c r="H712" s="204" t="s">
        <v>68</v>
      </c>
      <c r="I712" s="196" t="s">
        <v>274</v>
      </c>
      <c r="J712" s="150" t="str">
        <f t="shared" si="1"/>
        <v>07 - julio</v>
      </c>
      <c r="K712" s="150" t="str">
        <f t="shared" si="2"/>
        <v>2026</v>
      </c>
      <c r="L712" s="92" t="s">
        <v>338</v>
      </c>
    </row>
    <row r="713" ht="22.5" hidden="1" customHeight="1">
      <c r="A713" s="68" t="s">
        <v>183</v>
      </c>
      <c r="B713" s="193" t="s">
        <v>73</v>
      </c>
      <c r="C713" s="157">
        <v>35000.0</v>
      </c>
      <c r="D713" s="65">
        <v>46204.0</v>
      </c>
      <c r="E713" s="65">
        <v>46204.0</v>
      </c>
      <c r="F713" s="87"/>
      <c r="G713" s="158" t="s">
        <v>206</v>
      </c>
      <c r="H713" s="67" t="s">
        <v>69</v>
      </c>
      <c r="I713" s="194" t="s">
        <v>274</v>
      </c>
      <c r="J713" s="66" t="str">
        <f t="shared" si="1"/>
        <v>07 - julio</v>
      </c>
      <c r="K713" s="66" t="str">
        <f t="shared" si="2"/>
        <v>2026</v>
      </c>
      <c r="L713" s="69"/>
    </row>
    <row r="714" ht="22.5" hidden="1" customHeight="1">
      <c r="A714" s="77" t="s">
        <v>186</v>
      </c>
      <c r="B714" s="195" t="s">
        <v>73</v>
      </c>
      <c r="C714" s="175"/>
      <c r="D714" s="160">
        <v>46204.0</v>
      </c>
      <c r="E714" s="176"/>
      <c r="F714" s="84"/>
      <c r="G714" s="184"/>
      <c r="H714" s="185" t="s">
        <v>70</v>
      </c>
      <c r="I714" s="196" t="s">
        <v>274</v>
      </c>
      <c r="J714" s="150" t="str">
        <f t="shared" si="1"/>
        <v>07 - julio</v>
      </c>
      <c r="K714" s="150" t="str">
        <f t="shared" si="2"/>
        <v>2026</v>
      </c>
      <c r="L714" s="80"/>
    </row>
    <row r="715" ht="22.5" hidden="1" customHeight="1">
      <c r="A715" s="68" t="s">
        <v>190</v>
      </c>
      <c r="B715" s="193" t="s">
        <v>73</v>
      </c>
      <c r="C715" s="93"/>
      <c r="D715" s="65">
        <v>46204.0</v>
      </c>
      <c r="E715" s="86"/>
      <c r="F715" s="87"/>
      <c r="G715" s="95"/>
      <c r="H715" s="115" t="s">
        <v>70</v>
      </c>
      <c r="I715" s="194" t="s">
        <v>274</v>
      </c>
      <c r="J715" s="66" t="str">
        <f t="shared" si="1"/>
        <v>07 - julio</v>
      </c>
      <c r="K715" s="66" t="str">
        <f t="shared" si="2"/>
        <v>2026</v>
      </c>
      <c r="L715" s="69"/>
    </row>
    <row r="716" ht="22.5" hidden="1" customHeight="1">
      <c r="A716" s="77" t="s">
        <v>191</v>
      </c>
      <c r="B716" s="195" t="s">
        <v>73</v>
      </c>
      <c r="C716" s="159">
        <v>30000.0</v>
      </c>
      <c r="D716" s="160">
        <v>46204.0</v>
      </c>
      <c r="E716" s="160">
        <v>46204.0</v>
      </c>
      <c r="F716" s="84"/>
      <c r="G716" s="161" t="s">
        <v>206</v>
      </c>
      <c r="H716" s="162" t="s">
        <v>69</v>
      </c>
      <c r="I716" s="196" t="s">
        <v>274</v>
      </c>
      <c r="J716" s="150" t="str">
        <f t="shared" si="1"/>
        <v>07 - julio</v>
      </c>
      <c r="K716" s="150" t="str">
        <f t="shared" si="2"/>
        <v>2026</v>
      </c>
      <c r="L716" s="80"/>
    </row>
    <row r="717" ht="22.5" hidden="1" customHeight="1">
      <c r="A717" s="68" t="s">
        <v>176</v>
      </c>
      <c r="B717" s="193" t="s">
        <v>73</v>
      </c>
      <c r="C717" s="93"/>
      <c r="D717" s="65">
        <v>46204.0</v>
      </c>
      <c r="E717" s="86"/>
      <c r="F717" s="165"/>
      <c r="G717" s="95"/>
      <c r="H717" s="115" t="s">
        <v>70</v>
      </c>
      <c r="I717" s="194" t="s">
        <v>274</v>
      </c>
      <c r="J717" s="66" t="str">
        <f t="shared" si="1"/>
        <v>07 - julio</v>
      </c>
      <c r="K717" s="66" t="str">
        <f t="shared" si="2"/>
        <v>2026</v>
      </c>
      <c r="L717" s="69"/>
    </row>
    <row r="718" ht="22.5" hidden="1" customHeight="1">
      <c r="A718" s="77" t="s">
        <v>168</v>
      </c>
      <c r="B718" s="195" t="s">
        <v>73</v>
      </c>
      <c r="C718" s="159">
        <v>30000.0</v>
      </c>
      <c r="D718" s="160">
        <v>46204.0</v>
      </c>
      <c r="E718" s="160">
        <v>46204.0</v>
      </c>
      <c r="F718" s="166"/>
      <c r="G718" s="161" t="s">
        <v>206</v>
      </c>
      <c r="H718" s="162" t="s">
        <v>69</v>
      </c>
      <c r="I718" s="196" t="s">
        <v>274</v>
      </c>
      <c r="J718" s="150" t="str">
        <f t="shared" si="1"/>
        <v>07 - julio</v>
      </c>
      <c r="K718" s="150" t="str">
        <f t="shared" si="2"/>
        <v>2026</v>
      </c>
      <c r="L718" s="80"/>
    </row>
    <row r="719" ht="22.5" hidden="1" customHeight="1">
      <c r="A719" s="68" t="s">
        <v>185</v>
      </c>
      <c r="B719" s="193" t="s">
        <v>73</v>
      </c>
      <c r="C719" s="157">
        <v>35000.0</v>
      </c>
      <c r="D719" s="65">
        <v>46204.0</v>
      </c>
      <c r="E719" s="65">
        <v>46204.0</v>
      </c>
      <c r="F719" s="87"/>
      <c r="G719" s="158" t="s">
        <v>206</v>
      </c>
      <c r="H719" s="67" t="s">
        <v>69</v>
      </c>
      <c r="I719" s="194" t="s">
        <v>274</v>
      </c>
      <c r="J719" s="66" t="str">
        <f t="shared" si="1"/>
        <v>07 - julio</v>
      </c>
      <c r="K719" s="66" t="str">
        <f t="shared" si="2"/>
        <v>2026</v>
      </c>
      <c r="L719" s="69"/>
    </row>
    <row r="720" ht="22.5" hidden="1" customHeight="1">
      <c r="A720" s="77" t="s">
        <v>189</v>
      </c>
      <c r="B720" s="195" t="s">
        <v>73</v>
      </c>
      <c r="C720" s="159">
        <v>30000.0</v>
      </c>
      <c r="D720" s="160">
        <v>46204.0</v>
      </c>
      <c r="E720" s="160">
        <v>46204.0</v>
      </c>
      <c r="F720" s="166"/>
      <c r="G720" s="161" t="s">
        <v>206</v>
      </c>
      <c r="H720" s="162" t="s">
        <v>69</v>
      </c>
      <c r="I720" s="196" t="s">
        <v>274</v>
      </c>
      <c r="J720" s="150" t="str">
        <f t="shared" si="1"/>
        <v>07 - julio</v>
      </c>
      <c r="K720" s="150" t="str">
        <f t="shared" si="2"/>
        <v>2026</v>
      </c>
      <c r="L720" s="80"/>
    </row>
    <row r="721" ht="22.5" hidden="1" customHeight="1">
      <c r="A721" s="68" t="s">
        <v>187</v>
      </c>
      <c r="B721" s="193" t="s">
        <v>73</v>
      </c>
      <c r="C721" s="157">
        <v>30000.0</v>
      </c>
      <c r="D721" s="65">
        <v>46204.0</v>
      </c>
      <c r="E721" s="65">
        <v>46204.0</v>
      </c>
      <c r="F721" s="165"/>
      <c r="G721" s="158" t="s">
        <v>206</v>
      </c>
      <c r="H721" s="67" t="s">
        <v>69</v>
      </c>
      <c r="I721" s="194" t="s">
        <v>274</v>
      </c>
      <c r="J721" s="168" t="str">
        <f t="shared" si="1"/>
        <v>07 - julio</v>
      </c>
      <c r="K721" s="168" t="str">
        <f t="shared" si="2"/>
        <v>2026</v>
      </c>
      <c r="L721" s="69"/>
    </row>
    <row r="722" ht="22.5" hidden="1" customHeight="1">
      <c r="A722" s="77" t="s">
        <v>172</v>
      </c>
      <c r="B722" s="195" t="s">
        <v>73</v>
      </c>
      <c r="C722" s="159">
        <v>30000.0</v>
      </c>
      <c r="D722" s="160">
        <v>46204.0</v>
      </c>
      <c r="E722" s="160">
        <v>46204.0</v>
      </c>
      <c r="F722" s="166"/>
      <c r="G722" s="161" t="s">
        <v>206</v>
      </c>
      <c r="H722" s="162" t="s">
        <v>69</v>
      </c>
      <c r="I722" s="196" t="s">
        <v>274</v>
      </c>
      <c r="J722" s="150" t="str">
        <f t="shared" si="1"/>
        <v>07 - julio</v>
      </c>
      <c r="K722" s="150" t="str">
        <f t="shared" si="2"/>
        <v>2026</v>
      </c>
      <c r="L722" s="80"/>
    </row>
    <row r="723" ht="22.5" hidden="1" customHeight="1">
      <c r="A723" s="164" t="s">
        <v>188</v>
      </c>
      <c r="B723" s="193" t="s">
        <v>73</v>
      </c>
      <c r="C723" s="157">
        <v>30000.0</v>
      </c>
      <c r="D723" s="65">
        <v>46204.0</v>
      </c>
      <c r="E723" s="65">
        <v>46204.0</v>
      </c>
      <c r="F723" s="87"/>
      <c r="G723" s="158" t="s">
        <v>206</v>
      </c>
      <c r="H723" s="67" t="s">
        <v>69</v>
      </c>
      <c r="I723" s="194" t="s">
        <v>274</v>
      </c>
      <c r="J723" s="66" t="str">
        <f t="shared" si="1"/>
        <v>07 - julio</v>
      </c>
      <c r="K723" s="66" t="str">
        <f t="shared" si="2"/>
        <v>2026</v>
      </c>
      <c r="L723" s="69"/>
    </row>
    <row r="724" ht="22.5" hidden="1" customHeight="1">
      <c r="A724" s="70" t="s">
        <v>166</v>
      </c>
      <c r="B724" s="195" t="s">
        <v>73</v>
      </c>
      <c r="C724" s="90"/>
      <c r="D724" s="160">
        <v>46204.0</v>
      </c>
      <c r="E724" s="176"/>
      <c r="F724" s="84"/>
      <c r="G724" s="91"/>
      <c r="H724" s="185" t="s">
        <v>70</v>
      </c>
      <c r="I724" s="196" t="s">
        <v>274</v>
      </c>
      <c r="J724" s="73" t="str">
        <f t="shared" si="1"/>
        <v>07 - julio</v>
      </c>
      <c r="K724" s="73" t="str">
        <f t="shared" si="2"/>
        <v>2026</v>
      </c>
      <c r="L724" s="80"/>
    </row>
    <row r="725" ht="22.5" hidden="1" customHeight="1">
      <c r="A725" s="62" t="s">
        <v>179</v>
      </c>
      <c r="B725" s="193" t="s">
        <v>73</v>
      </c>
      <c r="C725" s="93"/>
      <c r="D725" s="65">
        <v>46204.0</v>
      </c>
      <c r="E725" s="86"/>
      <c r="F725" s="87"/>
      <c r="G725" s="95"/>
      <c r="H725" s="115" t="s">
        <v>70</v>
      </c>
      <c r="I725" s="194" t="s">
        <v>274</v>
      </c>
      <c r="J725" s="66" t="str">
        <f t="shared" si="1"/>
        <v>07 - julio</v>
      </c>
      <c r="K725" s="66" t="str">
        <f t="shared" si="2"/>
        <v>2026</v>
      </c>
      <c r="L725" s="69"/>
    </row>
    <row r="726" ht="22.5" hidden="1" customHeight="1">
      <c r="A726" s="70" t="s">
        <v>170</v>
      </c>
      <c r="B726" s="195" t="s">
        <v>73</v>
      </c>
      <c r="C726" s="90"/>
      <c r="D726" s="160">
        <v>46204.0</v>
      </c>
      <c r="E726" s="176"/>
      <c r="F726" s="84"/>
      <c r="G726" s="91"/>
      <c r="H726" s="185" t="s">
        <v>70</v>
      </c>
      <c r="I726" s="196" t="s">
        <v>274</v>
      </c>
      <c r="J726" s="73" t="str">
        <f t="shared" si="1"/>
        <v>07 - julio</v>
      </c>
      <c r="K726" s="73" t="str">
        <f t="shared" si="2"/>
        <v>2026</v>
      </c>
      <c r="L726" s="80"/>
    </row>
    <row r="727" ht="22.5" hidden="1" customHeight="1">
      <c r="A727" s="62" t="s">
        <v>184</v>
      </c>
      <c r="B727" s="193" t="s">
        <v>73</v>
      </c>
      <c r="C727" s="93"/>
      <c r="D727" s="65">
        <v>46204.0</v>
      </c>
      <c r="E727" s="86"/>
      <c r="F727" s="87"/>
      <c r="G727" s="95"/>
      <c r="H727" s="115" t="s">
        <v>70</v>
      </c>
      <c r="I727" s="194" t="s">
        <v>274</v>
      </c>
      <c r="J727" s="66" t="str">
        <f t="shared" si="1"/>
        <v>07 - julio</v>
      </c>
      <c r="K727" s="66" t="str">
        <f t="shared" si="2"/>
        <v>2026</v>
      </c>
      <c r="L727" s="69"/>
    </row>
    <row r="728" ht="22.5" hidden="1" customHeight="1">
      <c r="A728" s="70" t="s">
        <v>165</v>
      </c>
      <c r="B728" s="195" t="s">
        <v>73</v>
      </c>
      <c r="C728" s="90"/>
      <c r="D728" s="160">
        <v>46204.0</v>
      </c>
      <c r="E728" s="176"/>
      <c r="F728" s="84"/>
      <c r="G728" s="91"/>
      <c r="H728" s="185" t="s">
        <v>70</v>
      </c>
      <c r="I728" s="196" t="s">
        <v>274</v>
      </c>
      <c r="J728" s="73" t="str">
        <f t="shared" si="1"/>
        <v>07 - julio</v>
      </c>
      <c r="K728" s="73" t="str">
        <f t="shared" si="2"/>
        <v>2026</v>
      </c>
      <c r="L728" s="80"/>
    </row>
    <row r="729" ht="22.5" hidden="1" customHeight="1">
      <c r="A729" s="68" t="s">
        <v>167</v>
      </c>
      <c r="B729" s="193" t="s">
        <v>73</v>
      </c>
      <c r="C729" s="157">
        <v>35000.0</v>
      </c>
      <c r="D729" s="65">
        <v>46235.0</v>
      </c>
      <c r="E729" s="65">
        <v>46235.0</v>
      </c>
      <c r="F729" s="87"/>
      <c r="G729" s="158" t="s">
        <v>206</v>
      </c>
      <c r="H729" s="67" t="s">
        <v>69</v>
      </c>
      <c r="I729" s="194" t="s">
        <v>274</v>
      </c>
      <c r="J729" s="66" t="str">
        <f t="shared" si="1"/>
        <v>08 - agosto</v>
      </c>
      <c r="K729" s="66" t="str">
        <f t="shared" si="2"/>
        <v>2026</v>
      </c>
      <c r="L729" s="69"/>
    </row>
    <row r="730" ht="22.5" hidden="1" customHeight="1">
      <c r="A730" s="77" t="s">
        <v>169</v>
      </c>
      <c r="B730" s="195" t="s">
        <v>73</v>
      </c>
      <c r="C730" s="175"/>
      <c r="D730" s="160">
        <v>46235.0</v>
      </c>
      <c r="E730" s="176"/>
      <c r="F730" s="84"/>
      <c r="G730" s="184"/>
      <c r="H730" s="185" t="s">
        <v>70</v>
      </c>
      <c r="I730" s="196" t="s">
        <v>274</v>
      </c>
      <c r="J730" s="150" t="str">
        <f t="shared" si="1"/>
        <v>08 - agosto</v>
      </c>
      <c r="K730" s="150" t="str">
        <f t="shared" si="2"/>
        <v>2026</v>
      </c>
      <c r="L730" s="80"/>
    </row>
    <row r="731" ht="22.5" hidden="1" customHeight="1">
      <c r="A731" s="68" t="s">
        <v>171</v>
      </c>
      <c r="B731" s="193" t="s">
        <v>73</v>
      </c>
      <c r="C731" s="93"/>
      <c r="D731" s="65">
        <v>46235.0</v>
      </c>
      <c r="E731" s="86"/>
      <c r="F731" s="87"/>
      <c r="G731" s="95"/>
      <c r="H731" s="115" t="s">
        <v>70</v>
      </c>
      <c r="I731" s="194" t="s">
        <v>274</v>
      </c>
      <c r="J731" s="66" t="str">
        <f t="shared" si="1"/>
        <v>08 - agosto</v>
      </c>
      <c r="K731" s="66" t="str">
        <f t="shared" si="2"/>
        <v>2026</v>
      </c>
      <c r="L731" s="69"/>
    </row>
    <row r="732" ht="22.5" hidden="1" customHeight="1">
      <c r="A732" s="77" t="s">
        <v>173</v>
      </c>
      <c r="B732" s="195" t="s">
        <v>73</v>
      </c>
      <c r="C732" s="175"/>
      <c r="D732" s="160">
        <v>46235.0</v>
      </c>
      <c r="E732" s="176"/>
      <c r="F732" s="84"/>
      <c r="G732" s="184"/>
      <c r="H732" s="185" t="s">
        <v>70</v>
      </c>
      <c r="I732" s="196" t="s">
        <v>274</v>
      </c>
      <c r="J732" s="150" t="str">
        <f t="shared" si="1"/>
        <v>08 - agosto</v>
      </c>
      <c r="K732" s="150" t="str">
        <f t="shared" si="2"/>
        <v>2026</v>
      </c>
      <c r="L732" s="80"/>
    </row>
    <row r="733" ht="22.5" hidden="1" customHeight="1">
      <c r="A733" s="68" t="s">
        <v>174</v>
      </c>
      <c r="B733" s="193" t="s">
        <v>73</v>
      </c>
      <c r="C733" s="157">
        <v>35000.0</v>
      </c>
      <c r="D733" s="65">
        <v>46235.0</v>
      </c>
      <c r="E733" s="65">
        <v>46235.0</v>
      </c>
      <c r="F733" s="165"/>
      <c r="G733" s="158" t="s">
        <v>206</v>
      </c>
      <c r="H733" s="67" t="s">
        <v>69</v>
      </c>
      <c r="I733" s="194" t="s">
        <v>274</v>
      </c>
      <c r="J733" s="66" t="str">
        <f t="shared" si="1"/>
        <v>08 - agosto</v>
      </c>
      <c r="K733" s="66" t="str">
        <f t="shared" si="2"/>
        <v>2026</v>
      </c>
      <c r="L733" s="69"/>
    </row>
    <row r="734" ht="22.5" hidden="1" customHeight="1">
      <c r="A734" s="77" t="s">
        <v>175</v>
      </c>
      <c r="B734" s="195" t="s">
        <v>73</v>
      </c>
      <c r="C734" s="159">
        <v>35000.0</v>
      </c>
      <c r="D734" s="160">
        <v>46235.0</v>
      </c>
      <c r="E734" s="160">
        <v>46235.0</v>
      </c>
      <c r="F734" s="166"/>
      <c r="G734" s="161" t="s">
        <v>206</v>
      </c>
      <c r="H734" s="162" t="s">
        <v>69</v>
      </c>
      <c r="I734" s="196" t="s">
        <v>274</v>
      </c>
      <c r="J734" s="150" t="str">
        <f t="shared" si="1"/>
        <v>08 - agosto</v>
      </c>
      <c r="K734" s="150" t="str">
        <f t="shared" si="2"/>
        <v>2026</v>
      </c>
      <c r="L734" s="80"/>
    </row>
    <row r="735" ht="22.5" hidden="1" customHeight="1">
      <c r="A735" s="68" t="s">
        <v>177</v>
      </c>
      <c r="B735" s="193" t="s">
        <v>73</v>
      </c>
      <c r="C735" s="157">
        <v>35000.0</v>
      </c>
      <c r="D735" s="65">
        <v>46235.0</v>
      </c>
      <c r="E735" s="65">
        <v>46235.0</v>
      </c>
      <c r="F735" s="165"/>
      <c r="G735" s="158" t="s">
        <v>206</v>
      </c>
      <c r="H735" s="67" t="s">
        <v>69</v>
      </c>
      <c r="I735" s="194" t="s">
        <v>274</v>
      </c>
      <c r="J735" s="66" t="str">
        <f t="shared" si="1"/>
        <v>08 - agosto</v>
      </c>
      <c r="K735" s="66" t="str">
        <f t="shared" si="2"/>
        <v>2026</v>
      </c>
      <c r="L735" s="69"/>
    </row>
    <row r="736" ht="22.5" hidden="1" customHeight="1">
      <c r="A736" s="77" t="s">
        <v>180</v>
      </c>
      <c r="B736" s="195" t="s">
        <v>73</v>
      </c>
      <c r="C736" s="159">
        <v>35000.0</v>
      </c>
      <c r="D736" s="160">
        <v>46235.0</v>
      </c>
      <c r="E736" s="160">
        <v>46235.0</v>
      </c>
      <c r="F736" s="166"/>
      <c r="G736" s="161" t="s">
        <v>206</v>
      </c>
      <c r="H736" s="162" t="s">
        <v>69</v>
      </c>
      <c r="I736" s="196" t="s">
        <v>274</v>
      </c>
      <c r="J736" s="150" t="str">
        <f t="shared" si="1"/>
        <v>08 - agosto</v>
      </c>
      <c r="K736" s="150" t="str">
        <f t="shared" si="2"/>
        <v>2026</v>
      </c>
      <c r="L736" s="80"/>
    </row>
    <row r="737" ht="22.5" hidden="1" customHeight="1">
      <c r="A737" s="68" t="s">
        <v>181</v>
      </c>
      <c r="B737" s="193" t="s">
        <v>73</v>
      </c>
      <c r="C737" s="157">
        <v>35000.0</v>
      </c>
      <c r="D737" s="65">
        <v>46235.0</v>
      </c>
      <c r="E737" s="65">
        <v>46235.0</v>
      </c>
      <c r="F737" s="165"/>
      <c r="G737" s="158" t="s">
        <v>206</v>
      </c>
      <c r="H737" s="67" t="s">
        <v>69</v>
      </c>
      <c r="I737" s="194" t="s">
        <v>274</v>
      </c>
      <c r="J737" s="168" t="str">
        <f t="shared" si="1"/>
        <v>08 - agosto</v>
      </c>
      <c r="K737" s="168" t="str">
        <f t="shared" si="2"/>
        <v>2026</v>
      </c>
      <c r="L737" s="69"/>
    </row>
    <row r="738" ht="22.5" hidden="1" customHeight="1">
      <c r="A738" s="77" t="s">
        <v>182</v>
      </c>
      <c r="B738" s="195" t="s">
        <v>73</v>
      </c>
      <c r="C738" s="159">
        <v>35000.0</v>
      </c>
      <c r="D738" s="160">
        <v>46235.0</v>
      </c>
      <c r="E738" s="160">
        <v>46235.0</v>
      </c>
      <c r="F738" s="166"/>
      <c r="G738" s="161" t="s">
        <v>206</v>
      </c>
      <c r="H738" s="162" t="s">
        <v>69</v>
      </c>
      <c r="I738" s="196" t="s">
        <v>274</v>
      </c>
      <c r="J738" s="150" t="str">
        <f t="shared" si="1"/>
        <v>08 - agosto</v>
      </c>
      <c r="K738" s="150" t="str">
        <f t="shared" si="2"/>
        <v>2026</v>
      </c>
      <c r="L738" s="80"/>
    </row>
    <row r="739" ht="22.5" hidden="1" customHeight="1">
      <c r="A739" s="68" t="s">
        <v>183</v>
      </c>
      <c r="B739" s="193" t="s">
        <v>73</v>
      </c>
      <c r="C739" s="157">
        <v>35000.0</v>
      </c>
      <c r="D739" s="65">
        <v>46235.0</v>
      </c>
      <c r="E739" s="65">
        <v>46235.0</v>
      </c>
      <c r="F739" s="87"/>
      <c r="G739" s="158" t="s">
        <v>206</v>
      </c>
      <c r="H739" s="67" t="s">
        <v>69</v>
      </c>
      <c r="I739" s="194" t="s">
        <v>274</v>
      </c>
      <c r="J739" s="66" t="str">
        <f t="shared" si="1"/>
        <v>08 - agosto</v>
      </c>
      <c r="K739" s="66" t="str">
        <f t="shared" si="2"/>
        <v>2026</v>
      </c>
      <c r="L739" s="69"/>
    </row>
    <row r="740" ht="22.5" hidden="1" customHeight="1">
      <c r="A740" s="77" t="s">
        <v>186</v>
      </c>
      <c r="B740" s="195" t="s">
        <v>73</v>
      </c>
      <c r="C740" s="175"/>
      <c r="D740" s="160">
        <v>46235.0</v>
      </c>
      <c r="E740" s="176"/>
      <c r="F740" s="84"/>
      <c r="G740" s="184"/>
      <c r="H740" s="185" t="s">
        <v>70</v>
      </c>
      <c r="I740" s="196" t="s">
        <v>274</v>
      </c>
      <c r="J740" s="150" t="str">
        <f t="shared" si="1"/>
        <v>08 - agosto</v>
      </c>
      <c r="K740" s="150" t="str">
        <f t="shared" si="2"/>
        <v>2026</v>
      </c>
      <c r="L740" s="80"/>
    </row>
    <row r="741" ht="22.5" hidden="1" customHeight="1">
      <c r="A741" s="68" t="s">
        <v>190</v>
      </c>
      <c r="B741" s="193" t="s">
        <v>73</v>
      </c>
      <c r="C741" s="93"/>
      <c r="D741" s="65">
        <v>46235.0</v>
      </c>
      <c r="E741" s="86"/>
      <c r="F741" s="87"/>
      <c r="G741" s="95"/>
      <c r="H741" s="115" t="s">
        <v>70</v>
      </c>
      <c r="I741" s="194" t="s">
        <v>274</v>
      </c>
      <c r="J741" s="66" t="str">
        <f t="shared" si="1"/>
        <v>08 - agosto</v>
      </c>
      <c r="K741" s="66" t="str">
        <f t="shared" si="2"/>
        <v>2026</v>
      </c>
      <c r="L741" s="69"/>
    </row>
    <row r="742" ht="22.5" hidden="1" customHeight="1">
      <c r="A742" s="77" t="s">
        <v>191</v>
      </c>
      <c r="B742" s="195" t="s">
        <v>73</v>
      </c>
      <c r="C742" s="159">
        <v>35000.0</v>
      </c>
      <c r="D742" s="160">
        <v>46235.0</v>
      </c>
      <c r="E742" s="160">
        <v>46235.0</v>
      </c>
      <c r="F742" s="84"/>
      <c r="G742" s="161" t="s">
        <v>206</v>
      </c>
      <c r="H742" s="162" t="s">
        <v>69</v>
      </c>
      <c r="I742" s="196" t="s">
        <v>274</v>
      </c>
      <c r="J742" s="150" t="str">
        <f t="shared" si="1"/>
        <v>08 - agosto</v>
      </c>
      <c r="K742" s="150" t="str">
        <f t="shared" si="2"/>
        <v>2026</v>
      </c>
      <c r="L742" s="80"/>
    </row>
    <row r="743" ht="22.5" hidden="1" customHeight="1">
      <c r="A743" s="68" t="s">
        <v>176</v>
      </c>
      <c r="B743" s="193" t="s">
        <v>73</v>
      </c>
      <c r="C743" s="93"/>
      <c r="D743" s="65">
        <v>46235.0</v>
      </c>
      <c r="E743" s="86"/>
      <c r="F743" s="165"/>
      <c r="G743" s="95"/>
      <c r="H743" s="115" t="s">
        <v>70</v>
      </c>
      <c r="I743" s="194" t="s">
        <v>274</v>
      </c>
      <c r="J743" s="66" t="str">
        <f t="shared" si="1"/>
        <v>08 - agosto</v>
      </c>
      <c r="K743" s="66" t="str">
        <f t="shared" si="2"/>
        <v>2026</v>
      </c>
      <c r="L743" s="69"/>
    </row>
    <row r="744" ht="22.5" hidden="1" customHeight="1">
      <c r="A744" s="77" t="s">
        <v>168</v>
      </c>
      <c r="B744" s="195" t="s">
        <v>73</v>
      </c>
      <c r="C744" s="159">
        <v>35000.0</v>
      </c>
      <c r="D744" s="160">
        <v>46235.0</v>
      </c>
      <c r="E744" s="160">
        <v>46235.0</v>
      </c>
      <c r="F744" s="166"/>
      <c r="G744" s="161" t="s">
        <v>206</v>
      </c>
      <c r="H744" s="162" t="s">
        <v>69</v>
      </c>
      <c r="I744" s="196" t="s">
        <v>274</v>
      </c>
      <c r="J744" s="150" t="str">
        <f t="shared" si="1"/>
        <v>08 - agosto</v>
      </c>
      <c r="K744" s="150" t="str">
        <f t="shared" si="2"/>
        <v>2026</v>
      </c>
      <c r="L744" s="80"/>
    </row>
    <row r="745" ht="22.5" hidden="1" customHeight="1">
      <c r="A745" s="68" t="s">
        <v>185</v>
      </c>
      <c r="B745" s="193" t="s">
        <v>73</v>
      </c>
      <c r="C745" s="157">
        <v>35000.0</v>
      </c>
      <c r="D745" s="65">
        <v>46235.0</v>
      </c>
      <c r="E745" s="65">
        <v>46235.0</v>
      </c>
      <c r="F745" s="87"/>
      <c r="G745" s="158" t="s">
        <v>206</v>
      </c>
      <c r="H745" s="67" t="s">
        <v>69</v>
      </c>
      <c r="I745" s="194" t="s">
        <v>274</v>
      </c>
      <c r="J745" s="66" t="str">
        <f t="shared" si="1"/>
        <v>08 - agosto</v>
      </c>
      <c r="K745" s="66" t="str">
        <f t="shared" si="2"/>
        <v>2026</v>
      </c>
      <c r="L745" s="69"/>
    </row>
    <row r="746" ht="22.5" hidden="1" customHeight="1">
      <c r="A746" s="77" t="s">
        <v>189</v>
      </c>
      <c r="B746" s="195" t="s">
        <v>73</v>
      </c>
      <c r="C746" s="159">
        <v>35000.0</v>
      </c>
      <c r="D746" s="160">
        <v>46235.0</v>
      </c>
      <c r="E746" s="160">
        <v>46235.0</v>
      </c>
      <c r="F746" s="166"/>
      <c r="G746" s="161" t="s">
        <v>206</v>
      </c>
      <c r="H746" s="162" t="s">
        <v>69</v>
      </c>
      <c r="I746" s="196" t="s">
        <v>274</v>
      </c>
      <c r="J746" s="150" t="str">
        <f t="shared" si="1"/>
        <v>08 - agosto</v>
      </c>
      <c r="K746" s="150" t="str">
        <f t="shared" si="2"/>
        <v>2026</v>
      </c>
      <c r="L746" s="80"/>
    </row>
    <row r="747" ht="22.5" hidden="1" customHeight="1">
      <c r="A747" s="68" t="s">
        <v>187</v>
      </c>
      <c r="B747" s="193" t="s">
        <v>73</v>
      </c>
      <c r="C747" s="157">
        <v>35000.0</v>
      </c>
      <c r="D747" s="65">
        <v>46235.0</v>
      </c>
      <c r="E747" s="65">
        <v>46235.0</v>
      </c>
      <c r="F747" s="165"/>
      <c r="G747" s="158" t="s">
        <v>206</v>
      </c>
      <c r="H747" s="67" t="s">
        <v>69</v>
      </c>
      <c r="I747" s="194" t="s">
        <v>274</v>
      </c>
      <c r="J747" s="168" t="str">
        <f t="shared" si="1"/>
        <v>08 - agosto</v>
      </c>
      <c r="K747" s="168" t="str">
        <f t="shared" si="2"/>
        <v>2026</v>
      </c>
      <c r="L747" s="69"/>
    </row>
    <row r="748" ht="22.5" hidden="1" customHeight="1">
      <c r="A748" s="77" t="s">
        <v>172</v>
      </c>
      <c r="B748" s="195" t="s">
        <v>73</v>
      </c>
      <c r="C748" s="191"/>
      <c r="D748" s="160">
        <v>46235.0</v>
      </c>
      <c r="E748" s="160">
        <v>46235.0</v>
      </c>
      <c r="F748" s="166"/>
      <c r="G748" s="184"/>
      <c r="H748" s="204" t="s">
        <v>68</v>
      </c>
      <c r="I748" s="196" t="s">
        <v>274</v>
      </c>
      <c r="J748" s="150" t="str">
        <f t="shared" si="1"/>
        <v>08 - agosto</v>
      </c>
      <c r="K748" s="150" t="str">
        <f t="shared" si="2"/>
        <v>2026</v>
      </c>
      <c r="L748" s="92" t="s">
        <v>338</v>
      </c>
    </row>
    <row r="749" ht="22.5" hidden="1" customHeight="1">
      <c r="A749" s="164" t="s">
        <v>188</v>
      </c>
      <c r="B749" s="193" t="s">
        <v>73</v>
      </c>
      <c r="C749" s="157">
        <v>35000.0</v>
      </c>
      <c r="D749" s="65">
        <v>46235.0</v>
      </c>
      <c r="E749" s="65">
        <v>46235.0</v>
      </c>
      <c r="F749" s="87"/>
      <c r="G749" s="158" t="s">
        <v>206</v>
      </c>
      <c r="H749" s="67" t="s">
        <v>69</v>
      </c>
      <c r="I749" s="194" t="s">
        <v>274</v>
      </c>
      <c r="J749" s="66" t="str">
        <f t="shared" si="1"/>
        <v>08 - agosto</v>
      </c>
      <c r="K749" s="66" t="str">
        <f t="shared" si="2"/>
        <v>2026</v>
      </c>
      <c r="L749" s="69"/>
    </row>
    <row r="750" ht="22.5" hidden="1" customHeight="1">
      <c r="A750" s="70" t="s">
        <v>166</v>
      </c>
      <c r="B750" s="195" t="s">
        <v>73</v>
      </c>
      <c r="C750" s="90"/>
      <c r="D750" s="160">
        <v>46235.0</v>
      </c>
      <c r="E750" s="176"/>
      <c r="F750" s="84"/>
      <c r="G750" s="91"/>
      <c r="H750" s="185" t="s">
        <v>70</v>
      </c>
      <c r="I750" s="196" t="s">
        <v>274</v>
      </c>
      <c r="J750" s="73" t="str">
        <f t="shared" si="1"/>
        <v>08 - agosto</v>
      </c>
      <c r="K750" s="73" t="str">
        <f t="shared" si="2"/>
        <v>2026</v>
      </c>
      <c r="L750" s="80"/>
    </row>
    <row r="751" ht="22.5" hidden="1" customHeight="1">
      <c r="A751" s="62" t="s">
        <v>179</v>
      </c>
      <c r="B751" s="193" t="s">
        <v>73</v>
      </c>
      <c r="C751" s="93"/>
      <c r="D751" s="65">
        <v>46235.0</v>
      </c>
      <c r="E751" s="86"/>
      <c r="F751" s="87"/>
      <c r="G751" s="95"/>
      <c r="H751" s="115" t="s">
        <v>70</v>
      </c>
      <c r="I751" s="194" t="s">
        <v>274</v>
      </c>
      <c r="J751" s="66" t="str">
        <f t="shared" si="1"/>
        <v>08 - agosto</v>
      </c>
      <c r="K751" s="66" t="str">
        <f t="shared" si="2"/>
        <v>2026</v>
      </c>
      <c r="L751" s="69"/>
    </row>
    <row r="752" ht="22.5" hidden="1" customHeight="1">
      <c r="A752" s="70" t="s">
        <v>170</v>
      </c>
      <c r="B752" s="195" t="s">
        <v>73</v>
      </c>
      <c r="C752" s="90"/>
      <c r="D752" s="160">
        <v>46235.0</v>
      </c>
      <c r="E752" s="176"/>
      <c r="F752" s="84"/>
      <c r="G752" s="91"/>
      <c r="H752" s="185" t="s">
        <v>70</v>
      </c>
      <c r="I752" s="196" t="s">
        <v>274</v>
      </c>
      <c r="J752" s="73" t="str">
        <f t="shared" si="1"/>
        <v>08 - agosto</v>
      </c>
      <c r="K752" s="73" t="str">
        <f t="shared" si="2"/>
        <v>2026</v>
      </c>
      <c r="L752" s="80"/>
    </row>
    <row r="753" ht="22.5" hidden="1" customHeight="1">
      <c r="A753" s="62" t="s">
        <v>184</v>
      </c>
      <c r="B753" s="193" t="s">
        <v>73</v>
      </c>
      <c r="C753" s="93"/>
      <c r="D753" s="65">
        <v>46235.0</v>
      </c>
      <c r="E753" s="86"/>
      <c r="F753" s="87"/>
      <c r="G753" s="95"/>
      <c r="H753" s="115" t="s">
        <v>70</v>
      </c>
      <c r="I753" s="194" t="s">
        <v>274</v>
      </c>
      <c r="J753" s="66" t="str">
        <f t="shared" si="1"/>
        <v>08 - agosto</v>
      </c>
      <c r="K753" s="66" t="str">
        <f t="shared" si="2"/>
        <v>2026</v>
      </c>
      <c r="L753" s="69"/>
    </row>
    <row r="754" ht="22.5" hidden="1" customHeight="1">
      <c r="A754" s="70" t="s">
        <v>165</v>
      </c>
      <c r="B754" s="195" t="s">
        <v>73</v>
      </c>
      <c r="C754" s="90"/>
      <c r="D754" s="160">
        <v>46235.0</v>
      </c>
      <c r="E754" s="176"/>
      <c r="F754" s="84"/>
      <c r="G754" s="91"/>
      <c r="H754" s="185" t="s">
        <v>70</v>
      </c>
      <c r="I754" s="196" t="s">
        <v>274</v>
      </c>
      <c r="J754" s="73" t="str">
        <f t="shared" si="1"/>
        <v>08 - agosto</v>
      </c>
      <c r="K754" s="73" t="str">
        <f t="shared" si="2"/>
        <v>2026</v>
      </c>
      <c r="L754" s="80"/>
    </row>
    <row r="755" ht="22.5" hidden="1" customHeight="1">
      <c r="A755" s="68" t="s">
        <v>167</v>
      </c>
      <c r="B755" s="193" t="s">
        <v>73</v>
      </c>
      <c r="C755" s="93"/>
      <c r="D755" s="65">
        <v>46266.0</v>
      </c>
      <c r="E755" s="86"/>
      <c r="F755" s="87"/>
      <c r="G755" s="95"/>
      <c r="H755" s="115" t="s">
        <v>70</v>
      </c>
      <c r="I755" s="194" t="s">
        <v>274</v>
      </c>
      <c r="J755" s="66" t="str">
        <f t="shared" si="1"/>
        <v>09 - septiembre</v>
      </c>
      <c r="K755" s="66" t="str">
        <f t="shared" si="2"/>
        <v>2026</v>
      </c>
      <c r="L755" s="69"/>
    </row>
    <row r="756" ht="22.5" hidden="1" customHeight="1">
      <c r="A756" s="77" t="s">
        <v>169</v>
      </c>
      <c r="B756" s="195" t="s">
        <v>73</v>
      </c>
      <c r="C756" s="175"/>
      <c r="D756" s="160">
        <v>46266.0</v>
      </c>
      <c r="E756" s="176"/>
      <c r="F756" s="84"/>
      <c r="G756" s="184"/>
      <c r="H756" s="185" t="s">
        <v>70</v>
      </c>
      <c r="I756" s="196" t="s">
        <v>274</v>
      </c>
      <c r="J756" s="150" t="str">
        <f t="shared" si="1"/>
        <v>09 - septiembre</v>
      </c>
      <c r="K756" s="150" t="str">
        <f t="shared" si="2"/>
        <v>2026</v>
      </c>
      <c r="L756" s="80"/>
    </row>
    <row r="757" ht="22.5" hidden="1" customHeight="1">
      <c r="A757" s="68" t="s">
        <v>171</v>
      </c>
      <c r="B757" s="193" t="s">
        <v>73</v>
      </c>
      <c r="C757" s="93"/>
      <c r="D757" s="65">
        <v>46266.0</v>
      </c>
      <c r="E757" s="86"/>
      <c r="F757" s="87"/>
      <c r="G757" s="95"/>
      <c r="H757" s="115" t="s">
        <v>70</v>
      </c>
      <c r="I757" s="194" t="s">
        <v>274</v>
      </c>
      <c r="J757" s="66" t="str">
        <f t="shared" si="1"/>
        <v>09 - septiembre</v>
      </c>
      <c r="K757" s="66" t="str">
        <f t="shared" si="2"/>
        <v>2026</v>
      </c>
      <c r="L757" s="69"/>
    </row>
    <row r="758" ht="22.5" hidden="1" customHeight="1">
      <c r="A758" s="77" t="s">
        <v>173</v>
      </c>
      <c r="B758" s="195" t="s">
        <v>73</v>
      </c>
      <c r="C758" s="175"/>
      <c r="D758" s="160">
        <v>46266.0</v>
      </c>
      <c r="E758" s="176"/>
      <c r="F758" s="84"/>
      <c r="G758" s="184"/>
      <c r="H758" s="185" t="s">
        <v>70</v>
      </c>
      <c r="I758" s="196" t="s">
        <v>274</v>
      </c>
      <c r="J758" s="150" t="str">
        <f t="shared" si="1"/>
        <v>09 - septiembre</v>
      </c>
      <c r="K758" s="150" t="str">
        <f t="shared" si="2"/>
        <v>2026</v>
      </c>
      <c r="L758" s="80"/>
    </row>
    <row r="759" ht="22.5" hidden="1" customHeight="1">
      <c r="A759" s="68" t="s">
        <v>174</v>
      </c>
      <c r="B759" s="193" t="s">
        <v>73</v>
      </c>
      <c r="C759" s="157">
        <v>35000.0</v>
      </c>
      <c r="D759" s="65">
        <v>46266.0</v>
      </c>
      <c r="E759" s="65">
        <v>46266.0</v>
      </c>
      <c r="F759" s="165"/>
      <c r="G759" s="158" t="s">
        <v>206</v>
      </c>
      <c r="H759" s="67" t="s">
        <v>69</v>
      </c>
      <c r="I759" s="194" t="s">
        <v>274</v>
      </c>
      <c r="J759" s="66" t="str">
        <f t="shared" si="1"/>
        <v>09 - septiembre</v>
      </c>
      <c r="K759" s="66" t="str">
        <f t="shared" si="2"/>
        <v>2026</v>
      </c>
      <c r="L759" s="69"/>
    </row>
    <row r="760" ht="22.5" hidden="1" customHeight="1">
      <c r="A760" s="77" t="s">
        <v>175</v>
      </c>
      <c r="B760" s="195" t="s">
        <v>73</v>
      </c>
      <c r="C760" s="159">
        <v>35000.0</v>
      </c>
      <c r="D760" s="160">
        <v>46266.0</v>
      </c>
      <c r="E760" s="160">
        <v>46266.0</v>
      </c>
      <c r="F760" s="166"/>
      <c r="G760" s="161" t="s">
        <v>206</v>
      </c>
      <c r="H760" s="162" t="s">
        <v>69</v>
      </c>
      <c r="I760" s="196" t="s">
        <v>274</v>
      </c>
      <c r="J760" s="150" t="str">
        <f t="shared" si="1"/>
        <v>09 - septiembre</v>
      </c>
      <c r="K760" s="150" t="str">
        <f t="shared" si="2"/>
        <v>2026</v>
      </c>
      <c r="L760" s="80"/>
    </row>
    <row r="761" ht="22.5" hidden="1" customHeight="1">
      <c r="A761" s="68" t="s">
        <v>177</v>
      </c>
      <c r="B761" s="193" t="s">
        <v>73</v>
      </c>
      <c r="C761" s="157">
        <v>35000.0</v>
      </c>
      <c r="D761" s="65">
        <v>46266.0</v>
      </c>
      <c r="E761" s="65">
        <v>46266.0</v>
      </c>
      <c r="F761" s="165"/>
      <c r="G761" s="158" t="s">
        <v>206</v>
      </c>
      <c r="H761" s="67" t="s">
        <v>69</v>
      </c>
      <c r="I761" s="194" t="s">
        <v>274</v>
      </c>
      <c r="J761" s="66" t="str">
        <f t="shared" si="1"/>
        <v>09 - septiembre</v>
      </c>
      <c r="K761" s="66" t="str">
        <f t="shared" si="2"/>
        <v>2026</v>
      </c>
      <c r="L761" s="69"/>
    </row>
    <row r="762" ht="22.5" hidden="1" customHeight="1">
      <c r="A762" s="77" t="s">
        <v>180</v>
      </c>
      <c r="B762" s="195" t="s">
        <v>73</v>
      </c>
      <c r="C762" s="159">
        <v>35000.0</v>
      </c>
      <c r="D762" s="160">
        <v>46266.0</v>
      </c>
      <c r="E762" s="160">
        <v>46266.0</v>
      </c>
      <c r="F762" s="166"/>
      <c r="G762" s="161" t="s">
        <v>206</v>
      </c>
      <c r="H762" s="162" t="s">
        <v>69</v>
      </c>
      <c r="I762" s="196" t="s">
        <v>274</v>
      </c>
      <c r="J762" s="150" t="str">
        <f t="shared" si="1"/>
        <v>09 - septiembre</v>
      </c>
      <c r="K762" s="150" t="str">
        <f t="shared" si="2"/>
        <v>2026</v>
      </c>
      <c r="L762" s="80"/>
    </row>
    <row r="763" ht="22.5" hidden="1" customHeight="1">
      <c r="A763" s="68" t="s">
        <v>181</v>
      </c>
      <c r="B763" s="193" t="s">
        <v>73</v>
      </c>
      <c r="C763" s="157">
        <v>35000.0</v>
      </c>
      <c r="D763" s="65">
        <v>46266.0</v>
      </c>
      <c r="E763" s="65">
        <v>46266.0</v>
      </c>
      <c r="F763" s="165"/>
      <c r="G763" s="158" t="s">
        <v>206</v>
      </c>
      <c r="H763" s="67" t="s">
        <v>69</v>
      </c>
      <c r="I763" s="194" t="s">
        <v>274</v>
      </c>
      <c r="J763" s="168" t="str">
        <f t="shared" si="1"/>
        <v>09 - septiembre</v>
      </c>
      <c r="K763" s="168" t="str">
        <f t="shared" si="2"/>
        <v>2026</v>
      </c>
      <c r="L763" s="69"/>
    </row>
    <row r="764" ht="22.5" hidden="1" customHeight="1">
      <c r="A764" s="77" t="s">
        <v>182</v>
      </c>
      <c r="B764" s="195" t="s">
        <v>73</v>
      </c>
      <c r="C764" s="159">
        <v>35000.0</v>
      </c>
      <c r="D764" s="160">
        <v>46266.0</v>
      </c>
      <c r="E764" s="160">
        <v>46266.0</v>
      </c>
      <c r="F764" s="166"/>
      <c r="G764" s="161" t="s">
        <v>206</v>
      </c>
      <c r="H764" s="162" t="s">
        <v>69</v>
      </c>
      <c r="I764" s="196" t="s">
        <v>274</v>
      </c>
      <c r="J764" s="150" t="str">
        <f t="shared" si="1"/>
        <v>09 - septiembre</v>
      </c>
      <c r="K764" s="150" t="str">
        <f t="shared" si="2"/>
        <v>2026</v>
      </c>
      <c r="L764" s="80"/>
    </row>
    <row r="765" ht="22.5" hidden="1" customHeight="1">
      <c r="A765" s="68" t="s">
        <v>183</v>
      </c>
      <c r="B765" s="193" t="s">
        <v>73</v>
      </c>
      <c r="C765" s="157">
        <v>35000.0</v>
      </c>
      <c r="D765" s="65">
        <v>46266.0</v>
      </c>
      <c r="E765" s="65">
        <v>46266.0</v>
      </c>
      <c r="F765" s="87"/>
      <c r="G765" s="158" t="s">
        <v>206</v>
      </c>
      <c r="H765" s="67" t="s">
        <v>69</v>
      </c>
      <c r="I765" s="194" t="s">
        <v>274</v>
      </c>
      <c r="J765" s="66" t="str">
        <f t="shared" si="1"/>
        <v>09 - septiembre</v>
      </c>
      <c r="K765" s="66" t="str">
        <f t="shared" si="2"/>
        <v>2026</v>
      </c>
      <c r="L765" s="69"/>
    </row>
    <row r="766" ht="22.5" hidden="1" customHeight="1">
      <c r="A766" s="77" t="s">
        <v>186</v>
      </c>
      <c r="B766" s="195" t="s">
        <v>73</v>
      </c>
      <c r="C766" s="175"/>
      <c r="D766" s="160">
        <v>46266.0</v>
      </c>
      <c r="E766" s="176"/>
      <c r="F766" s="84"/>
      <c r="G766" s="184"/>
      <c r="H766" s="185" t="s">
        <v>70</v>
      </c>
      <c r="I766" s="196" t="s">
        <v>274</v>
      </c>
      <c r="J766" s="150" t="str">
        <f t="shared" si="1"/>
        <v>09 - septiembre</v>
      </c>
      <c r="K766" s="150" t="str">
        <f t="shared" si="2"/>
        <v>2026</v>
      </c>
      <c r="L766" s="80"/>
    </row>
    <row r="767" ht="22.5" hidden="1" customHeight="1">
      <c r="A767" s="68" t="s">
        <v>190</v>
      </c>
      <c r="B767" s="193" t="s">
        <v>73</v>
      </c>
      <c r="C767" s="93"/>
      <c r="D767" s="65">
        <v>46266.0</v>
      </c>
      <c r="E767" s="86"/>
      <c r="F767" s="87"/>
      <c r="G767" s="95"/>
      <c r="H767" s="115" t="s">
        <v>70</v>
      </c>
      <c r="I767" s="194" t="s">
        <v>274</v>
      </c>
      <c r="J767" s="66" t="str">
        <f t="shared" si="1"/>
        <v>09 - septiembre</v>
      </c>
      <c r="K767" s="66" t="str">
        <f t="shared" si="2"/>
        <v>2026</v>
      </c>
      <c r="L767" s="69"/>
    </row>
    <row r="768" ht="22.5" hidden="1" customHeight="1">
      <c r="A768" s="77" t="s">
        <v>191</v>
      </c>
      <c r="B768" s="195" t="s">
        <v>73</v>
      </c>
      <c r="C768" s="159">
        <v>35000.0</v>
      </c>
      <c r="D768" s="160">
        <v>46266.0</v>
      </c>
      <c r="E768" s="160">
        <v>46266.0</v>
      </c>
      <c r="F768" s="84"/>
      <c r="G768" s="161" t="s">
        <v>206</v>
      </c>
      <c r="H768" s="162" t="s">
        <v>69</v>
      </c>
      <c r="I768" s="196" t="s">
        <v>274</v>
      </c>
      <c r="J768" s="150" t="str">
        <f t="shared" si="1"/>
        <v>09 - septiembre</v>
      </c>
      <c r="K768" s="150" t="str">
        <f t="shared" si="2"/>
        <v>2026</v>
      </c>
      <c r="L768" s="80"/>
    </row>
    <row r="769" ht="22.5" hidden="1" customHeight="1">
      <c r="A769" s="68" t="s">
        <v>176</v>
      </c>
      <c r="B769" s="193" t="s">
        <v>73</v>
      </c>
      <c r="C769" s="93"/>
      <c r="D769" s="65">
        <v>46266.0</v>
      </c>
      <c r="E769" s="86"/>
      <c r="F769" s="165"/>
      <c r="G769" s="95"/>
      <c r="H769" s="115" t="s">
        <v>70</v>
      </c>
      <c r="I769" s="194" t="s">
        <v>274</v>
      </c>
      <c r="J769" s="66" t="str">
        <f t="shared" si="1"/>
        <v>09 - septiembre</v>
      </c>
      <c r="K769" s="66" t="str">
        <f t="shared" si="2"/>
        <v>2026</v>
      </c>
      <c r="L769" s="69"/>
    </row>
    <row r="770" ht="22.5" hidden="1" customHeight="1">
      <c r="A770" s="77" t="s">
        <v>168</v>
      </c>
      <c r="B770" s="195" t="s">
        <v>73</v>
      </c>
      <c r="C770" s="159">
        <v>35000.0</v>
      </c>
      <c r="D770" s="160">
        <v>46266.0</v>
      </c>
      <c r="E770" s="160">
        <v>46266.0</v>
      </c>
      <c r="F770" s="166"/>
      <c r="G770" s="161" t="s">
        <v>206</v>
      </c>
      <c r="H770" s="162" t="s">
        <v>69</v>
      </c>
      <c r="I770" s="196" t="s">
        <v>274</v>
      </c>
      <c r="J770" s="150" t="str">
        <f t="shared" si="1"/>
        <v>09 - septiembre</v>
      </c>
      <c r="K770" s="150" t="str">
        <f t="shared" si="2"/>
        <v>2026</v>
      </c>
      <c r="L770" s="80"/>
    </row>
    <row r="771" ht="22.5" hidden="1" customHeight="1">
      <c r="A771" s="68" t="s">
        <v>185</v>
      </c>
      <c r="B771" s="193" t="s">
        <v>73</v>
      </c>
      <c r="C771" s="93"/>
      <c r="D771" s="65">
        <v>46266.0</v>
      </c>
      <c r="E771" s="65">
        <v>46266.0</v>
      </c>
      <c r="F771" s="87"/>
      <c r="G771" s="95"/>
      <c r="H771" s="115" t="s">
        <v>70</v>
      </c>
      <c r="I771" s="194" t="s">
        <v>274</v>
      </c>
      <c r="J771" s="66" t="str">
        <f t="shared" si="1"/>
        <v>09 - septiembre</v>
      </c>
      <c r="K771" s="66" t="str">
        <f t="shared" si="2"/>
        <v>2026</v>
      </c>
      <c r="L771" s="69"/>
    </row>
    <row r="772" ht="22.5" hidden="1" customHeight="1">
      <c r="A772" s="77" t="s">
        <v>189</v>
      </c>
      <c r="B772" s="195" t="s">
        <v>73</v>
      </c>
      <c r="C772" s="175"/>
      <c r="D772" s="160">
        <v>46266.0</v>
      </c>
      <c r="E772" s="160">
        <v>46266.0</v>
      </c>
      <c r="F772" s="166"/>
      <c r="G772" s="184"/>
      <c r="H772" s="185" t="s">
        <v>70</v>
      </c>
      <c r="I772" s="196" t="s">
        <v>274</v>
      </c>
      <c r="J772" s="150" t="str">
        <f t="shared" si="1"/>
        <v>09 - septiembre</v>
      </c>
      <c r="K772" s="150" t="str">
        <f t="shared" si="2"/>
        <v>2026</v>
      </c>
      <c r="L772" s="80"/>
    </row>
    <row r="773" ht="22.5" hidden="1" customHeight="1">
      <c r="A773" s="68" t="s">
        <v>187</v>
      </c>
      <c r="B773" s="193" t="s">
        <v>73</v>
      </c>
      <c r="C773" s="157">
        <v>35000.0</v>
      </c>
      <c r="D773" s="65">
        <v>46266.0</v>
      </c>
      <c r="E773" s="65">
        <v>46266.0</v>
      </c>
      <c r="F773" s="165"/>
      <c r="G773" s="158" t="s">
        <v>206</v>
      </c>
      <c r="H773" s="67" t="s">
        <v>69</v>
      </c>
      <c r="I773" s="194" t="s">
        <v>274</v>
      </c>
      <c r="J773" s="168" t="str">
        <f t="shared" si="1"/>
        <v>09 - septiembre</v>
      </c>
      <c r="K773" s="168" t="str">
        <f t="shared" si="2"/>
        <v>2026</v>
      </c>
      <c r="L773" s="69"/>
    </row>
    <row r="774" ht="22.5" hidden="1" customHeight="1">
      <c r="A774" s="77" t="s">
        <v>172</v>
      </c>
      <c r="B774" s="195" t="s">
        <v>73</v>
      </c>
      <c r="C774" s="159">
        <v>35000.0</v>
      </c>
      <c r="D774" s="160">
        <v>46266.0</v>
      </c>
      <c r="E774" s="160">
        <v>46266.0</v>
      </c>
      <c r="F774" s="166"/>
      <c r="G774" s="161" t="s">
        <v>206</v>
      </c>
      <c r="H774" s="162" t="s">
        <v>69</v>
      </c>
      <c r="I774" s="196" t="s">
        <v>274</v>
      </c>
      <c r="J774" s="150" t="str">
        <f t="shared" si="1"/>
        <v>09 - septiembre</v>
      </c>
      <c r="K774" s="150" t="str">
        <f t="shared" si="2"/>
        <v>2026</v>
      </c>
      <c r="L774" s="80"/>
    </row>
    <row r="775" ht="22.5" hidden="1" customHeight="1">
      <c r="A775" s="164" t="s">
        <v>188</v>
      </c>
      <c r="B775" s="193" t="s">
        <v>73</v>
      </c>
      <c r="C775" s="157">
        <v>35000.0</v>
      </c>
      <c r="D775" s="65">
        <v>46266.0</v>
      </c>
      <c r="E775" s="65">
        <v>46266.0</v>
      </c>
      <c r="F775" s="87"/>
      <c r="G775" s="158" t="s">
        <v>206</v>
      </c>
      <c r="H775" s="67" t="s">
        <v>69</v>
      </c>
      <c r="I775" s="194" t="s">
        <v>274</v>
      </c>
      <c r="J775" s="66" t="str">
        <f t="shared" si="1"/>
        <v>09 - septiembre</v>
      </c>
      <c r="K775" s="66" t="str">
        <f t="shared" si="2"/>
        <v>2026</v>
      </c>
      <c r="L775" s="69"/>
    </row>
    <row r="776" ht="22.5" hidden="1" customHeight="1">
      <c r="A776" s="70" t="s">
        <v>166</v>
      </c>
      <c r="B776" s="195" t="s">
        <v>73</v>
      </c>
      <c r="C776" s="90"/>
      <c r="D776" s="160">
        <v>46266.0</v>
      </c>
      <c r="E776" s="176"/>
      <c r="F776" s="84"/>
      <c r="G776" s="91"/>
      <c r="H776" s="185" t="s">
        <v>70</v>
      </c>
      <c r="I776" s="196" t="s">
        <v>274</v>
      </c>
      <c r="J776" s="73" t="str">
        <f t="shared" si="1"/>
        <v>09 - septiembre</v>
      </c>
      <c r="K776" s="73" t="str">
        <f t="shared" si="2"/>
        <v>2026</v>
      </c>
      <c r="L776" s="80"/>
    </row>
    <row r="777" ht="22.5" hidden="1" customHeight="1">
      <c r="A777" s="62" t="s">
        <v>179</v>
      </c>
      <c r="B777" s="193" t="s">
        <v>73</v>
      </c>
      <c r="C777" s="93"/>
      <c r="D777" s="65">
        <v>46266.0</v>
      </c>
      <c r="E777" s="86"/>
      <c r="F777" s="87"/>
      <c r="G777" s="95"/>
      <c r="H777" s="115" t="s">
        <v>70</v>
      </c>
      <c r="I777" s="194" t="s">
        <v>274</v>
      </c>
      <c r="J777" s="66" t="str">
        <f t="shared" si="1"/>
        <v>09 - septiembre</v>
      </c>
      <c r="K777" s="66" t="str">
        <f t="shared" si="2"/>
        <v>2026</v>
      </c>
      <c r="L777" s="69"/>
    </row>
    <row r="778" ht="22.5" hidden="1" customHeight="1">
      <c r="A778" s="70" t="s">
        <v>170</v>
      </c>
      <c r="B778" s="195" t="s">
        <v>73</v>
      </c>
      <c r="C778" s="90"/>
      <c r="D778" s="160">
        <v>46266.0</v>
      </c>
      <c r="E778" s="176"/>
      <c r="F778" s="84"/>
      <c r="G778" s="91"/>
      <c r="H778" s="185" t="s">
        <v>70</v>
      </c>
      <c r="I778" s="196" t="s">
        <v>274</v>
      </c>
      <c r="J778" s="73" t="str">
        <f t="shared" si="1"/>
        <v>09 - septiembre</v>
      </c>
      <c r="K778" s="73" t="str">
        <f t="shared" si="2"/>
        <v>2026</v>
      </c>
      <c r="L778" s="80"/>
    </row>
    <row r="779" ht="22.5" hidden="1" customHeight="1">
      <c r="A779" s="62" t="s">
        <v>184</v>
      </c>
      <c r="B779" s="193" t="s">
        <v>73</v>
      </c>
      <c r="C779" s="93"/>
      <c r="D779" s="65">
        <v>46266.0</v>
      </c>
      <c r="E779" s="86"/>
      <c r="F779" s="87"/>
      <c r="G779" s="95"/>
      <c r="H779" s="115" t="s">
        <v>70</v>
      </c>
      <c r="I779" s="194" t="s">
        <v>274</v>
      </c>
      <c r="J779" s="66" t="str">
        <f t="shared" si="1"/>
        <v>09 - septiembre</v>
      </c>
      <c r="K779" s="66" t="str">
        <f t="shared" si="2"/>
        <v>2026</v>
      </c>
      <c r="L779" s="69"/>
    </row>
    <row r="780" ht="22.5" hidden="1" customHeight="1">
      <c r="A780" s="70" t="s">
        <v>165</v>
      </c>
      <c r="B780" s="195" t="s">
        <v>73</v>
      </c>
      <c r="C780" s="90"/>
      <c r="D780" s="160">
        <v>46266.0</v>
      </c>
      <c r="E780" s="176"/>
      <c r="F780" s="84"/>
      <c r="G780" s="91"/>
      <c r="H780" s="185" t="s">
        <v>70</v>
      </c>
      <c r="I780" s="196" t="s">
        <v>274</v>
      </c>
      <c r="J780" s="73" t="str">
        <f t="shared" si="1"/>
        <v>09 - septiembre</v>
      </c>
      <c r="K780" s="73" t="str">
        <f t="shared" si="2"/>
        <v>2026</v>
      </c>
      <c r="L780" s="80"/>
    </row>
    <row r="781" ht="22.5" hidden="1" customHeight="1">
      <c r="A781" s="68" t="s">
        <v>167</v>
      </c>
      <c r="B781" s="193" t="s">
        <v>73</v>
      </c>
      <c r="C781" s="93"/>
      <c r="D781" s="65">
        <v>46296.0</v>
      </c>
      <c r="E781" s="86"/>
      <c r="F781" s="87"/>
      <c r="G781" s="95"/>
      <c r="H781" s="115" t="s">
        <v>70</v>
      </c>
      <c r="I781" s="194" t="s">
        <v>274</v>
      </c>
      <c r="J781" s="66" t="str">
        <f t="shared" si="1"/>
        <v>10 - octubre</v>
      </c>
      <c r="K781" s="66" t="str">
        <f t="shared" si="2"/>
        <v>2026</v>
      </c>
      <c r="L781" s="69"/>
    </row>
    <row r="782" ht="22.5" hidden="1" customHeight="1">
      <c r="A782" s="77" t="s">
        <v>169</v>
      </c>
      <c r="B782" s="195" t="s">
        <v>73</v>
      </c>
      <c r="C782" s="175"/>
      <c r="D782" s="160">
        <v>46296.0</v>
      </c>
      <c r="E782" s="176"/>
      <c r="F782" s="84"/>
      <c r="G782" s="184"/>
      <c r="H782" s="185" t="s">
        <v>70</v>
      </c>
      <c r="I782" s="196" t="s">
        <v>274</v>
      </c>
      <c r="J782" s="150" t="str">
        <f t="shared" si="1"/>
        <v>10 - octubre</v>
      </c>
      <c r="K782" s="150" t="str">
        <f t="shared" si="2"/>
        <v>2026</v>
      </c>
      <c r="L782" s="80"/>
    </row>
    <row r="783" ht="22.5" hidden="1" customHeight="1">
      <c r="A783" s="68" t="s">
        <v>171</v>
      </c>
      <c r="B783" s="193" t="s">
        <v>73</v>
      </c>
      <c r="C783" s="93"/>
      <c r="D783" s="65">
        <v>46296.0</v>
      </c>
      <c r="E783" s="86"/>
      <c r="F783" s="87"/>
      <c r="G783" s="95"/>
      <c r="H783" s="115" t="s">
        <v>70</v>
      </c>
      <c r="I783" s="194" t="s">
        <v>274</v>
      </c>
      <c r="J783" s="66" t="str">
        <f t="shared" si="1"/>
        <v>10 - octubre</v>
      </c>
      <c r="K783" s="66" t="str">
        <f t="shared" si="2"/>
        <v>2026</v>
      </c>
      <c r="L783" s="69"/>
    </row>
    <row r="784" ht="22.5" hidden="1" customHeight="1">
      <c r="A784" s="77" t="s">
        <v>173</v>
      </c>
      <c r="B784" s="195" t="s">
        <v>73</v>
      </c>
      <c r="C784" s="159">
        <v>35000.0</v>
      </c>
      <c r="D784" s="160">
        <v>46296.0</v>
      </c>
      <c r="E784" s="172">
        <v>46307.0</v>
      </c>
      <c r="F784" s="135" t="s">
        <v>26</v>
      </c>
      <c r="G784" s="186" t="s">
        <v>222</v>
      </c>
      <c r="H784" s="187" t="s">
        <v>69</v>
      </c>
      <c r="I784" s="196" t="s">
        <v>274</v>
      </c>
      <c r="J784" s="150" t="str">
        <f t="shared" si="1"/>
        <v>10 - octubre</v>
      </c>
      <c r="K784" s="150" t="str">
        <f t="shared" si="2"/>
        <v>2026</v>
      </c>
      <c r="L784" s="205" t="s">
        <v>339</v>
      </c>
    </row>
    <row r="785" ht="22.5" hidden="1" customHeight="1">
      <c r="A785" s="68" t="s">
        <v>174</v>
      </c>
      <c r="B785" s="193" t="s">
        <v>73</v>
      </c>
      <c r="C785" s="93"/>
      <c r="D785" s="65">
        <v>46296.0</v>
      </c>
      <c r="E785" s="86"/>
      <c r="F785" s="165"/>
      <c r="G785" s="95"/>
      <c r="H785" s="115" t="s">
        <v>70</v>
      </c>
      <c r="I785" s="194" t="s">
        <v>274</v>
      </c>
      <c r="J785" s="66" t="str">
        <f t="shared" si="1"/>
        <v>10 - octubre</v>
      </c>
      <c r="K785" s="66" t="str">
        <f t="shared" si="2"/>
        <v>2026</v>
      </c>
      <c r="L785" s="69"/>
    </row>
    <row r="786" ht="22.5" hidden="1" customHeight="1">
      <c r="A786" s="77" t="s">
        <v>175</v>
      </c>
      <c r="B786" s="195" t="s">
        <v>73</v>
      </c>
      <c r="C786" s="175"/>
      <c r="D786" s="160">
        <v>46296.0</v>
      </c>
      <c r="E786" s="176"/>
      <c r="F786" s="166"/>
      <c r="G786" s="184"/>
      <c r="H786" s="185" t="s">
        <v>70</v>
      </c>
      <c r="I786" s="196" t="s">
        <v>274</v>
      </c>
      <c r="J786" s="150" t="str">
        <f t="shared" si="1"/>
        <v>10 - octubre</v>
      </c>
      <c r="K786" s="150" t="str">
        <f t="shared" si="2"/>
        <v>2026</v>
      </c>
      <c r="L786" s="80"/>
    </row>
    <row r="787" ht="22.5" hidden="1" customHeight="1">
      <c r="A787" s="68" t="s">
        <v>177</v>
      </c>
      <c r="B787" s="193" t="s">
        <v>73</v>
      </c>
      <c r="C787" s="93"/>
      <c r="D787" s="65">
        <v>46296.0</v>
      </c>
      <c r="E787" s="86"/>
      <c r="F787" s="165"/>
      <c r="G787" s="95"/>
      <c r="H787" s="115" t="s">
        <v>70</v>
      </c>
      <c r="I787" s="194" t="s">
        <v>274</v>
      </c>
      <c r="J787" s="66" t="str">
        <f t="shared" si="1"/>
        <v>10 - octubre</v>
      </c>
      <c r="K787" s="66" t="str">
        <f t="shared" si="2"/>
        <v>2026</v>
      </c>
      <c r="L787" s="69"/>
    </row>
    <row r="788" ht="22.5" hidden="1" customHeight="1">
      <c r="A788" s="77" t="s">
        <v>180</v>
      </c>
      <c r="B788" s="195" t="s">
        <v>73</v>
      </c>
      <c r="C788" s="175"/>
      <c r="D788" s="160">
        <v>46296.0</v>
      </c>
      <c r="E788" s="176"/>
      <c r="F788" s="166"/>
      <c r="G788" s="184"/>
      <c r="H788" s="185" t="s">
        <v>70</v>
      </c>
      <c r="I788" s="196" t="s">
        <v>274</v>
      </c>
      <c r="J788" s="150" t="str">
        <f t="shared" si="1"/>
        <v>10 - octubre</v>
      </c>
      <c r="K788" s="150" t="str">
        <f t="shared" si="2"/>
        <v>2026</v>
      </c>
      <c r="L788" s="80"/>
    </row>
    <row r="789" ht="22.5" hidden="1" customHeight="1">
      <c r="A789" s="68" t="s">
        <v>181</v>
      </c>
      <c r="B789" s="193" t="s">
        <v>73</v>
      </c>
      <c r="C789" s="93"/>
      <c r="D789" s="65">
        <v>46296.0</v>
      </c>
      <c r="E789" s="86"/>
      <c r="F789" s="165"/>
      <c r="G789" s="95"/>
      <c r="H789" s="115" t="s">
        <v>70</v>
      </c>
      <c r="I789" s="194" t="s">
        <v>274</v>
      </c>
      <c r="J789" s="168" t="str">
        <f t="shared" si="1"/>
        <v>10 - octubre</v>
      </c>
      <c r="K789" s="168" t="str">
        <f t="shared" si="2"/>
        <v>2026</v>
      </c>
      <c r="L789" s="69"/>
    </row>
    <row r="790" ht="22.5" hidden="1" customHeight="1">
      <c r="A790" s="77" t="s">
        <v>182</v>
      </c>
      <c r="B790" s="195" t="s">
        <v>73</v>
      </c>
      <c r="C790" s="175"/>
      <c r="D790" s="160">
        <v>46296.0</v>
      </c>
      <c r="E790" s="176"/>
      <c r="F790" s="166"/>
      <c r="G790" s="184"/>
      <c r="H790" s="185" t="s">
        <v>70</v>
      </c>
      <c r="I790" s="196" t="s">
        <v>274</v>
      </c>
      <c r="J790" s="150" t="str">
        <f t="shared" si="1"/>
        <v>10 - octubre</v>
      </c>
      <c r="K790" s="150" t="str">
        <f t="shared" si="2"/>
        <v>2026</v>
      </c>
      <c r="L790" s="80"/>
    </row>
    <row r="791" ht="22.5" hidden="1" customHeight="1">
      <c r="A791" s="68" t="s">
        <v>183</v>
      </c>
      <c r="B791" s="193" t="s">
        <v>73</v>
      </c>
      <c r="C791" s="93"/>
      <c r="D791" s="65">
        <v>46296.0</v>
      </c>
      <c r="E791" s="86"/>
      <c r="F791" s="87"/>
      <c r="G791" s="95"/>
      <c r="H791" s="115" t="s">
        <v>70</v>
      </c>
      <c r="I791" s="194" t="s">
        <v>274</v>
      </c>
      <c r="J791" s="66" t="str">
        <f t="shared" si="1"/>
        <v>10 - octubre</v>
      </c>
      <c r="K791" s="66" t="str">
        <f t="shared" si="2"/>
        <v>2026</v>
      </c>
      <c r="L791" s="69"/>
    </row>
    <row r="792" ht="22.5" hidden="1" customHeight="1">
      <c r="A792" s="77" t="s">
        <v>186</v>
      </c>
      <c r="B792" s="195" t="s">
        <v>73</v>
      </c>
      <c r="C792" s="175"/>
      <c r="D792" s="160">
        <v>46296.0</v>
      </c>
      <c r="E792" s="176"/>
      <c r="F792" s="84"/>
      <c r="G792" s="184"/>
      <c r="H792" s="185" t="s">
        <v>70</v>
      </c>
      <c r="I792" s="196" t="s">
        <v>274</v>
      </c>
      <c r="J792" s="150" t="str">
        <f t="shared" si="1"/>
        <v>10 - octubre</v>
      </c>
      <c r="K792" s="150" t="str">
        <f t="shared" si="2"/>
        <v>2026</v>
      </c>
      <c r="L792" s="80"/>
    </row>
    <row r="793" ht="22.5" hidden="1" customHeight="1">
      <c r="A793" s="68" t="s">
        <v>190</v>
      </c>
      <c r="B793" s="193" t="s">
        <v>73</v>
      </c>
      <c r="C793" s="93"/>
      <c r="D793" s="65">
        <v>46296.0</v>
      </c>
      <c r="E793" s="86"/>
      <c r="F793" s="87"/>
      <c r="G793" s="95"/>
      <c r="H793" s="115" t="s">
        <v>70</v>
      </c>
      <c r="I793" s="194" t="s">
        <v>274</v>
      </c>
      <c r="J793" s="66" t="str">
        <f t="shared" si="1"/>
        <v>10 - octubre</v>
      </c>
      <c r="K793" s="66" t="str">
        <f t="shared" si="2"/>
        <v>2026</v>
      </c>
      <c r="L793" s="69"/>
    </row>
    <row r="794" ht="22.5" hidden="1" customHeight="1">
      <c r="A794" s="77" t="s">
        <v>191</v>
      </c>
      <c r="B794" s="195" t="s">
        <v>73</v>
      </c>
      <c r="C794" s="159">
        <v>35000.0</v>
      </c>
      <c r="D794" s="160">
        <v>46296.0</v>
      </c>
      <c r="E794" s="172">
        <v>46306.0</v>
      </c>
      <c r="F794" s="135" t="s">
        <v>26</v>
      </c>
      <c r="G794" s="186" t="s">
        <v>222</v>
      </c>
      <c r="H794" s="187" t="s">
        <v>69</v>
      </c>
      <c r="I794" s="196" t="s">
        <v>274</v>
      </c>
      <c r="J794" s="150" t="str">
        <f t="shared" si="1"/>
        <v>10 - octubre</v>
      </c>
      <c r="K794" s="150" t="str">
        <f t="shared" si="2"/>
        <v>2026</v>
      </c>
      <c r="L794" s="205" t="s">
        <v>339</v>
      </c>
    </row>
    <row r="795" ht="22.5" hidden="1" customHeight="1">
      <c r="A795" s="68" t="s">
        <v>176</v>
      </c>
      <c r="B795" s="193" t="s">
        <v>73</v>
      </c>
      <c r="C795" s="93"/>
      <c r="D795" s="65">
        <v>46296.0</v>
      </c>
      <c r="E795" s="86"/>
      <c r="F795" s="165"/>
      <c r="G795" s="95"/>
      <c r="H795" s="115" t="s">
        <v>70</v>
      </c>
      <c r="I795" s="194" t="s">
        <v>274</v>
      </c>
      <c r="J795" s="66" t="str">
        <f t="shared" si="1"/>
        <v>10 - octubre</v>
      </c>
      <c r="K795" s="66" t="str">
        <f t="shared" si="2"/>
        <v>2026</v>
      </c>
      <c r="L795" s="69"/>
    </row>
    <row r="796" ht="22.5" hidden="1" customHeight="1">
      <c r="A796" s="77" t="s">
        <v>168</v>
      </c>
      <c r="B796" s="195" t="s">
        <v>73</v>
      </c>
      <c r="C796" s="175"/>
      <c r="D796" s="160">
        <v>46296.0</v>
      </c>
      <c r="E796" s="176"/>
      <c r="F796" s="166"/>
      <c r="G796" s="184"/>
      <c r="H796" s="185" t="s">
        <v>70</v>
      </c>
      <c r="I796" s="196" t="s">
        <v>274</v>
      </c>
      <c r="J796" s="150" t="str">
        <f t="shared" si="1"/>
        <v>10 - octubre</v>
      </c>
      <c r="K796" s="150" t="str">
        <f t="shared" si="2"/>
        <v>2026</v>
      </c>
      <c r="L796" s="80"/>
    </row>
    <row r="797" ht="22.5" hidden="1" customHeight="1">
      <c r="A797" s="68" t="s">
        <v>185</v>
      </c>
      <c r="B797" s="193" t="s">
        <v>73</v>
      </c>
      <c r="C797" s="93"/>
      <c r="D797" s="65">
        <v>46296.0</v>
      </c>
      <c r="E797" s="86"/>
      <c r="F797" s="87"/>
      <c r="G797" s="95"/>
      <c r="H797" s="115" t="s">
        <v>70</v>
      </c>
      <c r="I797" s="194" t="s">
        <v>274</v>
      </c>
      <c r="J797" s="66" t="str">
        <f t="shared" si="1"/>
        <v>10 - octubre</v>
      </c>
      <c r="K797" s="66" t="str">
        <f t="shared" si="2"/>
        <v>2026</v>
      </c>
      <c r="L797" s="69"/>
    </row>
    <row r="798" ht="22.5" hidden="1" customHeight="1">
      <c r="A798" s="77" t="s">
        <v>189</v>
      </c>
      <c r="B798" s="195" t="s">
        <v>73</v>
      </c>
      <c r="C798" s="175"/>
      <c r="D798" s="160">
        <v>46296.0</v>
      </c>
      <c r="E798" s="176"/>
      <c r="F798" s="166"/>
      <c r="G798" s="184"/>
      <c r="H798" s="185" t="s">
        <v>70</v>
      </c>
      <c r="I798" s="196" t="s">
        <v>274</v>
      </c>
      <c r="J798" s="150" t="str">
        <f t="shared" si="1"/>
        <v>10 - octubre</v>
      </c>
      <c r="K798" s="150" t="str">
        <f t="shared" si="2"/>
        <v>2026</v>
      </c>
      <c r="L798" s="80"/>
    </row>
    <row r="799" ht="22.5" hidden="1" customHeight="1">
      <c r="A799" s="68" t="s">
        <v>187</v>
      </c>
      <c r="B799" s="193" t="s">
        <v>73</v>
      </c>
      <c r="C799" s="93"/>
      <c r="D799" s="65">
        <v>46296.0</v>
      </c>
      <c r="E799" s="86"/>
      <c r="F799" s="165"/>
      <c r="G799" s="95"/>
      <c r="H799" s="115" t="s">
        <v>70</v>
      </c>
      <c r="I799" s="194" t="s">
        <v>274</v>
      </c>
      <c r="J799" s="168" t="str">
        <f t="shared" si="1"/>
        <v>10 - octubre</v>
      </c>
      <c r="K799" s="168" t="str">
        <f t="shared" si="2"/>
        <v>2026</v>
      </c>
      <c r="L799" s="69"/>
    </row>
    <row r="800" ht="22.5" hidden="1" customHeight="1">
      <c r="A800" s="77" t="s">
        <v>172</v>
      </c>
      <c r="B800" s="195" t="s">
        <v>73</v>
      </c>
      <c r="C800" s="175"/>
      <c r="D800" s="160">
        <v>46296.0</v>
      </c>
      <c r="E800" s="176"/>
      <c r="F800" s="166"/>
      <c r="G800" s="184"/>
      <c r="H800" s="185" t="s">
        <v>70</v>
      </c>
      <c r="I800" s="196" t="s">
        <v>274</v>
      </c>
      <c r="J800" s="150" t="str">
        <f t="shared" si="1"/>
        <v>10 - octubre</v>
      </c>
      <c r="K800" s="150" t="str">
        <f t="shared" si="2"/>
        <v>2026</v>
      </c>
      <c r="L800" s="80"/>
    </row>
    <row r="801" ht="22.5" hidden="1" customHeight="1">
      <c r="A801" s="164" t="s">
        <v>188</v>
      </c>
      <c r="B801" s="193" t="s">
        <v>73</v>
      </c>
      <c r="C801" s="157">
        <v>35000.0</v>
      </c>
      <c r="D801" s="65">
        <v>46296.0</v>
      </c>
      <c r="E801" s="129">
        <v>46302.0</v>
      </c>
      <c r="F801" s="181" t="s">
        <v>26</v>
      </c>
      <c r="G801" s="130" t="s">
        <v>199</v>
      </c>
      <c r="H801" s="131" t="s">
        <v>69</v>
      </c>
      <c r="I801" s="194" t="s">
        <v>274</v>
      </c>
      <c r="J801" s="66" t="str">
        <f t="shared" si="1"/>
        <v>10 - octubre</v>
      </c>
      <c r="K801" s="66" t="str">
        <f t="shared" si="2"/>
        <v>2026</v>
      </c>
      <c r="L801" s="69"/>
    </row>
    <row r="802" ht="22.5" hidden="1" customHeight="1">
      <c r="A802" s="70" t="s">
        <v>166</v>
      </c>
      <c r="B802" s="195" t="s">
        <v>73</v>
      </c>
      <c r="C802" s="90"/>
      <c r="D802" s="160">
        <v>46296.0</v>
      </c>
      <c r="E802" s="176"/>
      <c r="F802" s="84"/>
      <c r="G802" s="184"/>
      <c r="H802" s="185" t="s">
        <v>70</v>
      </c>
      <c r="I802" s="196" t="s">
        <v>274</v>
      </c>
      <c r="J802" s="73" t="str">
        <f t="shared" si="1"/>
        <v>10 - octubre</v>
      </c>
      <c r="K802" s="73" t="str">
        <f t="shared" si="2"/>
        <v>2026</v>
      </c>
      <c r="L802" s="80"/>
    </row>
    <row r="803" ht="22.5" hidden="1" customHeight="1">
      <c r="A803" s="62" t="s">
        <v>179</v>
      </c>
      <c r="B803" s="193" t="s">
        <v>73</v>
      </c>
      <c r="C803" s="93"/>
      <c r="D803" s="65">
        <v>46296.0</v>
      </c>
      <c r="E803" s="86"/>
      <c r="F803" s="87"/>
      <c r="G803" s="95"/>
      <c r="H803" s="115" t="s">
        <v>70</v>
      </c>
      <c r="I803" s="194" t="s">
        <v>274</v>
      </c>
      <c r="J803" s="66" t="str">
        <f t="shared" si="1"/>
        <v>10 - octubre</v>
      </c>
      <c r="K803" s="66" t="str">
        <f t="shared" si="2"/>
        <v>2026</v>
      </c>
      <c r="L803" s="69"/>
    </row>
    <row r="804" ht="22.5" hidden="1" customHeight="1">
      <c r="A804" s="70" t="s">
        <v>170</v>
      </c>
      <c r="B804" s="195" t="s">
        <v>73</v>
      </c>
      <c r="C804" s="90"/>
      <c r="D804" s="160">
        <v>46296.0</v>
      </c>
      <c r="E804" s="176"/>
      <c r="F804" s="84"/>
      <c r="G804" s="184"/>
      <c r="H804" s="185" t="s">
        <v>70</v>
      </c>
      <c r="I804" s="196" t="s">
        <v>274</v>
      </c>
      <c r="J804" s="73" t="str">
        <f t="shared" si="1"/>
        <v>10 - octubre</v>
      </c>
      <c r="K804" s="73" t="str">
        <f t="shared" si="2"/>
        <v>2026</v>
      </c>
      <c r="L804" s="80"/>
    </row>
    <row r="805" ht="22.5" hidden="1" customHeight="1">
      <c r="A805" s="62" t="s">
        <v>184</v>
      </c>
      <c r="B805" s="193" t="s">
        <v>73</v>
      </c>
      <c r="C805" s="93"/>
      <c r="D805" s="65">
        <v>46296.0</v>
      </c>
      <c r="E805" s="86"/>
      <c r="F805" s="87"/>
      <c r="G805" s="95"/>
      <c r="H805" s="115" t="s">
        <v>70</v>
      </c>
      <c r="I805" s="194" t="s">
        <v>274</v>
      </c>
      <c r="J805" s="66" t="str">
        <f t="shared" si="1"/>
        <v>10 - octubre</v>
      </c>
      <c r="K805" s="66" t="str">
        <f t="shared" si="2"/>
        <v>2026</v>
      </c>
      <c r="L805" s="69"/>
    </row>
    <row r="806" ht="22.5" hidden="1" customHeight="1">
      <c r="A806" s="206" t="s">
        <v>165</v>
      </c>
      <c r="B806" s="195" t="s">
        <v>73</v>
      </c>
      <c r="C806" s="207"/>
      <c r="D806" s="160">
        <v>46296.0</v>
      </c>
      <c r="E806" s="176"/>
      <c r="F806" s="208"/>
      <c r="G806" s="184"/>
      <c r="H806" s="185" t="s">
        <v>70</v>
      </c>
      <c r="I806" s="196" t="s">
        <v>274</v>
      </c>
      <c r="J806" s="123" t="str">
        <f t="shared" si="1"/>
        <v>10 - octubre</v>
      </c>
      <c r="K806" s="123" t="str">
        <f t="shared" si="2"/>
        <v>2026</v>
      </c>
      <c r="L806" s="192"/>
    </row>
  </sheetData>
  <dataValidations>
    <dataValidation type="list" allowBlank="1" sqref="H3:H806">
      <formula1>"Pagado,Pendiente,Exento,Pendiente por baja"</formula1>
    </dataValidation>
    <dataValidation type="custom" allowBlank="1" showDropDown="1" sqref="D3:E806">
      <formula1>OR(NOT(ISERROR(DATEVALUE(D3))), AND(ISNUMBER(D3), LEFT(CELL("format", D3))="D"))</formula1>
    </dataValidation>
    <dataValidation type="list" allowBlank="1" sqref="A3:B806">
      <formula1>#REF!</formula1>
    </dataValidation>
    <dataValidation type="custom" allowBlank="1" showDropDown="1" sqref="C3:C806">
      <formula1>AND(ISNUMBER(C3),(NOT(OR(NOT(ISERROR(DATEVALUE(C3))), AND(ISNUMBER(C3), LEFT(CELL("format", C3))="D")))))</formula1>
    </dataValidation>
    <dataValidation allowBlank="1" showDropDown="1" sqref="F3:F806 J3:L806"/>
    <dataValidation type="list" allowBlank="1" sqref="I3:I806">
      <formula1>#REF!</formula1>
    </dataValidation>
    <dataValidation type="list" allowBlank="1" sqref="G3:G806">
      <formula1>"Mercado Pago,BBVA,Efectivo,Modo,Anabella,Otro,Galicia,Santander,Hipotecario"</formula1>
    </dataValidation>
  </dataValidations>
  <hyperlinks>
    <hyperlink r:id="rId1" ref="F98"/>
    <hyperlink r:id="rId2" ref="F104"/>
    <hyperlink r:id="rId3" ref="F108"/>
    <hyperlink r:id="rId4" ref="F109"/>
    <hyperlink r:id="rId5" ref="F110"/>
    <hyperlink r:id="rId6" ref="F115"/>
    <hyperlink r:id="rId7" ref="F116"/>
    <hyperlink r:id="rId8" ref="F117"/>
    <hyperlink r:id="rId9" ref="F118"/>
    <hyperlink r:id="rId10" ref="F119"/>
    <hyperlink r:id="rId11" ref="F120"/>
    <hyperlink r:id="rId12" ref="F181"/>
    <hyperlink r:id="rId13" ref="L181"/>
    <hyperlink r:id="rId14" ref="F185"/>
    <hyperlink r:id="rId15" ref="F190"/>
    <hyperlink r:id="rId16" ref="F332"/>
    <hyperlink r:id="rId17" ref="F335"/>
    <hyperlink r:id="rId18" ref="F336"/>
    <hyperlink r:id="rId19" ref="F338"/>
    <hyperlink r:id="rId20" ref="F340"/>
    <hyperlink r:id="rId21" ref="F341"/>
    <hyperlink r:id="rId22" ref="F343"/>
    <hyperlink r:id="rId23" ref="F345"/>
    <hyperlink r:id="rId24" ref="F471"/>
    <hyperlink r:id="rId25" ref="F472"/>
    <hyperlink r:id="rId26" ref="F554"/>
    <hyperlink r:id="rId27" ref="F563"/>
    <hyperlink r:id="rId28" ref="F566"/>
    <hyperlink r:id="rId29" ref="F569"/>
    <hyperlink r:id="rId30" ref="F571"/>
    <hyperlink r:id="rId31" ref="F784"/>
    <hyperlink r:id="rId32" ref="F794"/>
    <hyperlink r:id="rId33" ref="F801"/>
  </hyperlinks>
  <drawing r:id="rId34"/>
  <tableParts count="1">
    <tablePart r:id="rId3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14"/>
    <col customWidth="1" min="2" max="2" width="33.43"/>
    <col customWidth="1" min="3" max="3" width="18.29"/>
    <col customWidth="1" min="4" max="5" width="15.86"/>
    <col customWidth="1" min="6" max="6" width="15.14"/>
  </cols>
  <sheetData>
    <row r="1" ht="22.5" customHeight="1">
      <c r="A1" s="60" t="s">
        <v>201</v>
      </c>
      <c r="B1" s="60" t="s">
        <v>52</v>
      </c>
      <c r="C1" s="60" t="s">
        <v>51</v>
      </c>
      <c r="D1" s="60" t="s">
        <v>63</v>
      </c>
      <c r="E1" s="60" t="s">
        <v>202</v>
      </c>
      <c r="F1" s="60" t="s">
        <v>0</v>
      </c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</row>
    <row r="2" ht="22.5" hidden="1" customHeight="1">
      <c r="A2" s="74">
        <v>1.0</v>
      </c>
      <c r="B2" s="66" t="s">
        <v>167</v>
      </c>
      <c r="C2" s="76" t="s">
        <v>73</v>
      </c>
      <c r="D2" s="78" t="s">
        <v>204</v>
      </c>
      <c r="E2" s="69"/>
      <c r="F2" s="7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</row>
    <row r="3" ht="22.5" hidden="1" customHeight="1">
      <c r="A3" s="81">
        <v>2.0</v>
      </c>
      <c r="B3" s="73" t="s">
        <v>169</v>
      </c>
      <c r="C3" s="76" t="s">
        <v>73</v>
      </c>
      <c r="D3" s="82" t="s">
        <v>204</v>
      </c>
      <c r="E3" s="80"/>
      <c r="F3" s="7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</row>
    <row r="4" ht="22.5" hidden="1" customHeight="1">
      <c r="A4" s="74">
        <v>3.0</v>
      </c>
      <c r="B4" s="66" t="s">
        <v>171</v>
      </c>
      <c r="C4" s="76" t="s">
        <v>73</v>
      </c>
      <c r="D4" s="78" t="s">
        <v>204</v>
      </c>
      <c r="E4" s="69"/>
      <c r="F4" s="7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</row>
    <row r="5" ht="22.5" hidden="1" customHeight="1">
      <c r="A5" s="81">
        <v>4.0</v>
      </c>
      <c r="B5" s="73" t="s">
        <v>173</v>
      </c>
      <c r="C5" s="76" t="s">
        <v>73</v>
      </c>
      <c r="D5" s="82" t="s">
        <v>204</v>
      </c>
      <c r="E5" s="80"/>
      <c r="F5" s="7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</row>
    <row r="6" ht="22.5" hidden="1" customHeight="1">
      <c r="A6" s="74">
        <v>5.0</v>
      </c>
      <c r="B6" s="66" t="s">
        <v>174</v>
      </c>
      <c r="C6" s="76" t="s">
        <v>73</v>
      </c>
      <c r="D6" s="78" t="s">
        <v>204</v>
      </c>
      <c r="E6" s="69"/>
      <c r="F6" s="7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</row>
    <row r="7" ht="22.5" hidden="1" customHeight="1">
      <c r="A7" s="81">
        <v>6.0</v>
      </c>
      <c r="B7" s="73" t="s">
        <v>175</v>
      </c>
      <c r="C7" s="76" t="s">
        <v>73</v>
      </c>
      <c r="D7" s="82" t="s">
        <v>204</v>
      </c>
      <c r="E7" s="80"/>
      <c r="F7" s="7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</row>
    <row r="8" ht="22.5" hidden="1" customHeight="1">
      <c r="A8" s="74">
        <v>7.0</v>
      </c>
      <c r="B8" s="66" t="s">
        <v>177</v>
      </c>
      <c r="C8" s="76" t="s">
        <v>73</v>
      </c>
      <c r="D8" s="78" t="s">
        <v>204</v>
      </c>
      <c r="E8" s="69"/>
      <c r="F8" s="7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</row>
    <row r="9" ht="22.5" hidden="1" customHeight="1">
      <c r="A9" s="81">
        <v>8.0</v>
      </c>
      <c r="B9" s="73" t="s">
        <v>180</v>
      </c>
      <c r="C9" s="76" t="s">
        <v>73</v>
      </c>
      <c r="D9" s="82" t="s">
        <v>204</v>
      </c>
      <c r="E9" s="80"/>
      <c r="F9" s="7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</row>
    <row r="10" ht="22.5" hidden="1" customHeight="1">
      <c r="A10" s="74">
        <v>9.0</v>
      </c>
      <c r="B10" s="66" t="s">
        <v>181</v>
      </c>
      <c r="C10" s="76" t="s">
        <v>73</v>
      </c>
      <c r="D10" s="78" t="s">
        <v>204</v>
      </c>
      <c r="E10" s="69"/>
      <c r="F10" s="7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</row>
    <row r="11" ht="22.5" hidden="1" customHeight="1">
      <c r="A11" s="88">
        <v>10.0</v>
      </c>
      <c r="B11" s="73" t="s">
        <v>182</v>
      </c>
      <c r="C11" s="76" t="s">
        <v>73</v>
      </c>
      <c r="D11" s="89" t="s">
        <v>204</v>
      </c>
      <c r="E11" s="80"/>
      <c r="F11" s="7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 ht="22.5" hidden="1" customHeight="1">
      <c r="A12" s="74">
        <f t="shared" ref="A12:A92" si="1">A11+1</f>
        <v>11</v>
      </c>
      <c r="B12" s="66" t="s">
        <v>183</v>
      </c>
      <c r="C12" s="76" t="s">
        <v>73</v>
      </c>
      <c r="D12" s="78" t="s">
        <v>204</v>
      </c>
      <c r="E12" s="69"/>
      <c r="F12" s="7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</row>
    <row r="13" ht="22.5" hidden="1" customHeight="1">
      <c r="A13" s="81">
        <f t="shared" si="1"/>
        <v>12</v>
      </c>
      <c r="B13" s="73" t="s">
        <v>186</v>
      </c>
      <c r="C13" s="76" t="s">
        <v>73</v>
      </c>
      <c r="D13" s="89" t="s">
        <v>204</v>
      </c>
      <c r="E13" s="80"/>
      <c r="F13" s="7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</row>
    <row r="14" ht="22.5" hidden="1" customHeight="1">
      <c r="A14" s="74">
        <f t="shared" si="1"/>
        <v>13</v>
      </c>
      <c r="B14" s="66" t="s">
        <v>190</v>
      </c>
      <c r="C14" s="76" t="s">
        <v>73</v>
      </c>
      <c r="D14" s="78" t="s">
        <v>204</v>
      </c>
      <c r="E14" s="69"/>
      <c r="F14" s="7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</row>
    <row r="15" ht="22.5" hidden="1" customHeight="1">
      <c r="A15" s="81">
        <f t="shared" si="1"/>
        <v>14</v>
      </c>
      <c r="B15" s="73" t="s">
        <v>191</v>
      </c>
      <c r="C15" s="76" t="s">
        <v>73</v>
      </c>
      <c r="D15" s="89" t="s">
        <v>204</v>
      </c>
      <c r="E15" s="80"/>
      <c r="F15" s="7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</row>
    <row r="16" ht="22.5" hidden="1" customHeight="1">
      <c r="A16" s="74">
        <f t="shared" si="1"/>
        <v>15</v>
      </c>
      <c r="B16" s="66" t="s">
        <v>176</v>
      </c>
      <c r="C16" s="76" t="s">
        <v>73</v>
      </c>
      <c r="D16" s="78" t="s">
        <v>204</v>
      </c>
      <c r="E16" s="69"/>
      <c r="F16" s="7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</row>
    <row r="17" ht="22.5" hidden="1" customHeight="1">
      <c r="A17" s="81">
        <f t="shared" si="1"/>
        <v>16</v>
      </c>
      <c r="B17" s="73" t="s">
        <v>168</v>
      </c>
      <c r="C17" s="76" t="s">
        <v>73</v>
      </c>
      <c r="D17" s="89" t="s">
        <v>204</v>
      </c>
      <c r="E17" s="80"/>
      <c r="F17" s="7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</row>
    <row r="18" ht="22.5" hidden="1" customHeight="1">
      <c r="A18" s="74">
        <f t="shared" si="1"/>
        <v>17</v>
      </c>
      <c r="B18" s="66" t="s">
        <v>185</v>
      </c>
      <c r="C18" s="76" t="s">
        <v>73</v>
      </c>
      <c r="D18" s="78" t="s">
        <v>204</v>
      </c>
      <c r="E18" s="69"/>
      <c r="F18" s="7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</row>
    <row r="19" ht="22.5" hidden="1" customHeight="1">
      <c r="A19" s="81">
        <f t="shared" si="1"/>
        <v>18</v>
      </c>
      <c r="B19" s="73" t="s">
        <v>189</v>
      </c>
      <c r="C19" s="76" t="s">
        <v>73</v>
      </c>
      <c r="D19" s="89" t="s">
        <v>204</v>
      </c>
      <c r="E19" s="80"/>
      <c r="F19" s="7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</row>
    <row r="20" ht="22.5" hidden="1" customHeight="1">
      <c r="A20" s="74">
        <f t="shared" si="1"/>
        <v>19</v>
      </c>
      <c r="B20" s="66" t="s">
        <v>187</v>
      </c>
      <c r="C20" s="76" t="s">
        <v>73</v>
      </c>
      <c r="D20" s="78" t="s">
        <v>204</v>
      </c>
      <c r="E20" s="69"/>
      <c r="F20" s="7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</row>
    <row r="21" ht="22.5" hidden="1" customHeight="1">
      <c r="A21" s="81">
        <f t="shared" si="1"/>
        <v>20</v>
      </c>
      <c r="B21" s="73" t="s">
        <v>172</v>
      </c>
      <c r="C21" s="76" t="s">
        <v>73</v>
      </c>
      <c r="D21" s="89" t="s">
        <v>204</v>
      </c>
      <c r="E21" s="80"/>
      <c r="F21" s="7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</row>
    <row r="22" ht="22.5" hidden="1" customHeight="1">
      <c r="A22" s="74">
        <f t="shared" si="1"/>
        <v>21</v>
      </c>
      <c r="B22" s="101" t="s">
        <v>188</v>
      </c>
      <c r="C22" s="76" t="s">
        <v>73</v>
      </c>
      <c r="D22" s="78" t="s">
        <v>204</v>
      </c>
      <c r="E22" s="69"/>
      <c r="F22" s="7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</row>
    <row r="23" ht="22.5" hidden="1" customHeight="1">
      <c r="A23" s="81">
        <f t="shared" si="1"/>
        <v>22</v>
      </c>
      <c r="B23" s="73" t="s">
        <v>166</v>
      </c>
      <c r="C23" s="76" t="s">
        <v>73</v>
      </c>
      <c r="D23" s="89" t="s">
        <v>204</v>
      </c>
      <c r="E23" s="80"/>
      <c r="F23" s="7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</row>
    <row r="24" ht="22.5" hidden="1" customHeight="1">
      <c r="A24" s="74">
        <f t="shared" si="1"/>
        <v>23</v>
      </c>
      <c r="B24" s="66" t="s">
        <v>179</v>
      </c>
      <c r="C24" s="76" t="s">
        <v>73</v>
      </c>
      <c r="D24" s="78" t="s">
        <v>204</v>
      </c>
      <c r="E24" s="69"/>
      <c r="F24" s="7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  <c r="AA24" s="59"/>
      <c r="AB24" s="59"/>
    </row>
    <row r="25" ht="22.5" hidden="1" customHeight="1">
      <c r="A25" s="81">
        <f t="shared" si="1"/>
        <v>24</v>
      </c>
      <c r="B25" s="73" t="s">
        <v>170</v>
      </c>
      <c r="C25" s="76" t="s">
        <v>73</v>
      </c>
      <c r="D25" s="89" t="s">
        <v>204</v>
      </c>
      <c r="E25" s="80"/>
      <c r="F25" s="7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</row>
    <row r="26" ht="22.5" hidden="1" customHeight="1">
      <c r="A26" s="74">
        <f t="shared" si="1"/>
        <v>25</v>
      </c>
      <c r="B26" s="66" t="s">
        <v>184</v>
      </c>
      <c r="C26" s="76" t="s">
        <v>73</v>
      </c>
      <c r="D26" s="78" t="s">
        <v>204</v>
      </c>
      <c r="E26" s="69"/>
      <c r="F26" s="7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</row>
    <row r="27" ht="22.5" hidden="1" customHeight="1">
      <c r="A27" s="103">
        <f t="shared" si="1"/>
        <v>26</v>
      </c>
      <c r="B27" s="104" t="s">
        <v>165</v>
      </c>
      <c r="C27" s="105" t="s">
        <v>73</v>
      </c>
      <c r="D27" s="106" t="s">
        <v>204</v>
      </c>
      <c r="E27" s="107"/>
      <c r="F27" s="7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</row>
    <row r="28" ht="22.5" hidden="1" customHeight="1">
      <c r="A28" s="108">
        <f t="shared" si="1"/>
        <v>27</v>
      </c>
      <c r="B28" s="109" t="s">
        <v>66</v>
      </c>
      <c r="C28" s="110" t="s">
        <v>64</v>
      </c>
      <c r="D28" s="111" t="s">
        <v>204</v>
      </c>
      <c r="E28" s="112"/>
      <c r="F28" s="7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</row>
    <row r="29" ht="22.5" hidden="1" customHeight="1">
      <c r="A29" s="108">
        <f t="shared" si="1"/>
        <v>28</v>
      </c>
      <c r="B29" s="113" t="s">
        <v>72</v>
      </c>
      <c r="C29" s="110" t="s">
        <v>64</v>
      </c>
      <c r="D29" s="114" t="s">
        <v>204</v>
      </c>
      <c r="E29" s="112"/>
      <c r="F29" s="7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</row>
    <row r="30" ht="22.5" hidden="1" customHeight="1">
      <c r="A30" s="108">
        <f t="shared" si="1"/>
        <v>29</v>
      </c>
      <c r="B30" s="66" t="s">
        <v>74</v>
      </c>
      <c r="C30" s="110" t="s">
        <v>64</v>
      </c>
      <c r="D30" s="89" t="s">
        <v>204</v>
      </c>
      <c r="E30" s="112"/>
      <c r="F30" s="7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</row>
    <row r="31" ht="22.5" hidden="1" customHeight="1">
      <c r="A31" s="108">
        <f t="shared" si="1"/>
        <v>30</v>
      </c>
      <c r="B31" s="73" t="s">
        <v>75</v>
      </c>
      <c r="C31" s="110" t="s">
        <v>64</v>
      </c>
      <c r="D31" s="89" t="s">
        <v>204</v>
      </c>
      <c r="E31" s="112"/>
      <c r="F31" s="7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</row>
    <row r="32" ht="22.5" hidden="1" customHeight="1">
      <c r="A32" s="108">
        <f t="shared" si="1"/>
        <v>31</v>
      </c>
      <c r="B32" s="66" t="s">
        <v>76</v>
      </c>
      <c r="C32" s="110" t="s">
        <v>64</v>
      </c>
      <c r="D32" s="89" t="s">
        <v>204</v>
      </c>
      <c r="E32" s="112"/>
      <c r="F32" s="7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</row>
    <row r="33" ht="22.5" hidden="1" customHeight="1">
      <c r="A33" s="108">
        <f t="shared" si="1"/>
        <v>32</v>
      </c>
      <c r="B33" s="73" t="s">
        <v>78</v>
      </c>
      <c r="C33" s="110" t="s">
        <v>64</v>
      </c>
      <c r="D33" s="89" t="s">
        <v>204</v>
      </c>
      <c r="E33" s="112"/>
      <c r="F33" s="7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</row>
    <row r="34" ht="22.5" hidden="1" customHeight="1">
      <c r="A34" s="108">
        <f t="shared" si="1"/>
        <v>33</v>
      </c>
      <c r="B34" s="66" t="s">
        <v>80</v>
      </c>
      <c r="C34" s="110" t="s">
        <v>64</v>
      </c>
      <c r="D34" s="89" t="s">
        <v>204</v>
      </c>
      <c r="E34" s="112"/>
      <c r="F34" s="7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ht="22.5" hidden="1" customHeight="1">
      <c r="A35" s="108">
        <f t="shared" si="1"/>
        <v>34</v>
      </c>
      <c r="B35" s="73" t="s">
        <v>81</v>
      </c>
      <c r="C35" s="110" t="s">
        <v>64</v>
      </c>
      <c r="D35" s="89" t="s">
        <v>204</v>
      </c>
      <c r="E35" s="112"/>
      <c r="F35" s="7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ht="22.5" hidden="1" customHeight="1">
      <c r="A36" s="108">
        <f t="shared" si="1"/>
        <v>35</v>
      </c>
      <c r="B36" s="66" t="s">
        <v>82</v>
      </c>
      <c r="C36" s="110" t="s">
        <v>64</v>
      </c>
      <c r="D36" s="89" t="s">
        <v>204</v>
      </c>
      <c r="E36" s="112"/>
      <c r="F36" s="7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ht="22.5" hidden="1" customHeight="1">
      <c r="A37" s="108">
        <f t="shared" si="1"/>
        <v>36</v>
      </c>
      <c r="B37" s="73" t="s">
        <v>85</v>
      </c>
      <c r="C37" s="110" t="s">
        <v>64</v>
      </c>
      <c r="D37" s="89" t="s">
        <v>204</v>
      </c>
      <c r="E37" s="112"/>
      <c r="F37" s="7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ht="22.5" hidden="1" customHeight="1">
      <c r="A38" s="108">
        <f t="shared" si="1"/>
        <v>37</v>
      </c>
      <c r="B38" s="66" t="s">
        <v>88</v>
      </c>
      <c r="C38" s="110" t="s">
        <v>87</v>
      </c>
      <c r="D38" s="89" t="s">
        <v>204</v>
      </c>
      <c r="E38" s="112"/>
      <c r="F38" s="7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ht="22.5" hidden="1" customHeight="1">
      <c r="A39" s="108">
        <f t="shared" si="1"/>
        <v>38</v>
      </c>
      <c r="B39" s="73" t="s">
        <v>93</v>
      </c>
      <c r="C39" s="110" t="s">
        <v>87</v>
      </c>
      <c r="D39" s="89" t="s">
        <v>204</v>
      </c>
      <c r="E39" s="112"/>
      <c r="F39" s="7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ht="22.5" hidden="1" customHeight="1">
      <c r="A40" s="108">
        <f t="shared" si="1"/>
        <v>39</v>
      </c>
      <c r="B40" s="66" t="s">
        <v>94</v>
      </c>
      <c r="C40" s="110" t="s">
        <v>87</v>
      </c>
      <c r="D40" s="89" t="s">
        <v>204</v>
      </c>
      <c r="E40" s="112"/>
      <c r="F40" s="7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ht="22.5" hidden="1" customHeight="1">
      <c r="A41" s="108">
        <f t="shared" si="1"/>
        <v>40</v>
      </c>
      <c r="B41" s="73" t="s">
        <v>96</v>
      </c>
      <c r="C41" s="110" t="s">
        <v>87</v>
      </c>
      <c r="D41" s="89" t="s">
        <v>204</v>
      </c>
      <c r="E41" s="112"/>
      <c r="F41" s="7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ht="22.5" hidden="1" customHeight="1">
      <c r="A42" s="108">
        <f t="shared" si="1"/>
        <v>41</v>
      </c>
      <c r="B42" s="66" t="s">
        <v>97</v>
      </c>
      <c r="C42" s="110" t="s">
        <v>87</v>
      </c>
      <c r="D42" s="89" t="s">
        <v>204</v>
      </c>
      <c r="E42" s="112"/>
      <c r="F42" s="7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ht="22.5" hidden="1" customHeight="1">
      <c r="A43" s="108">
        <f t="shared" si="1"/>
        <v>42</v>
      </c>
      <c r="B43" s="73" t="s">
        <v>98</v>
      </c>
      <c r="C43" s="110" t="s">
        <v>87</v>
      </c>
      <c r="D43" s="89" t="s">
        <v>204</v>
      </c>
      <c r="E43" s="112"/>
      <c r="F43" s="7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ht="22.5" hidden="1" customHeight="1">
      <c r="A44" s="108">
        <f t="shared" si="1"/>
        <v>43</v>
      </c>
      <c r="B44" s="66" t="s">
        <v>99</v>
      </c>
      <c r="C44" s="110" t="s">
        <v>87</v>
      </c>
      <c r="D44" s="89" t="s">
        <v>204</v>
      </c>
      <c r="E44" s="112"/>
      <c r="F44" s="7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ht="22.5" hidden="1" customHeight="1">
      <c r="A45" s="108">
        <f t="shared" si="1"/>
        <v>44</v>
      </c>
      <c r="B45" s="73" t="s">
        <v>100</v>
      </c>
      <c r="C45" s="110" t="s">
        <v>87</v>
      </c>
      <c r="D45" s="89" t="s">
        <v>204</v>
      </c>
      <c r="E45" s="112"/>
      <c r="F45" s="7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ht="22.5" hidden="1" customHeight="1">
      <c r="A46" s="108">
        <f t="shared" si="1"/>
        <v>45</v>
      </c>
      <c r="B46" s="66" t="s">
        <v>102</v>
      </c>
      <c r="C46" s="110" t="s">
        <v>87</v>
      </c>
      <c r="D46" s="89" t="s">
        <v>204</v>
      </c>
      <c r="E46" s="112"/>
      <c r="F46" s="7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ht="22.5" hidden="1" customHeight="1">
      <c r="A47" s="108">
        <f t="shared" si="1"/>
        <v>46</v>
      </c>
      <c r="B47" s="73" t="s">
        <v>103</v>
      </c>
      <c r="C47" s="110" t="s">
        <v>87</v>
      </c>
      <c r="D47" s="89" t="s">
        <v>204</v>
      </c>
      <c r="E47" s="112"/>
      <c r="F47" s="7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 ht="22.5" hidden="1" customHeight="1">
      <c r="A48" s="108">
        <f t="shared" si="1"/>
        <v>47</v>
      </c>
      <c r="B48" s="66" t="s">
        <v>106</v>
      </c>
      <c r="C48" s="110" t="s">
        <v>87</v>
      </c>
      <c r="D48" s="89" t="s">
        <v>204</v>
      </c>
      <c r="E48" s="112"/>
      <c r="F48" s="7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ht="22.5" hidden="1" customHeight="1">
      <c r="A49" s="108">
        <f t="shared" si="1"/>
        <v>48</v>
      </c>
      <c r="B49" s="73" t="s">
        <v>107</v>
      </c>
      <c r="C49" s="110" t="s">
        <v>87</v>
      </c>
      <c r="D49" s="89" t="s">
        <v>204</v>
      </c>
      <c r="E49" s="112"/>
      <c r="F49" s="7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 ht="22.5" hidden="1" customHeight="1">
      <c r="A50" s="108">
        <f t="shared" si="1"/>
        <v>49</v>
      </c>
      <c r="B50" s="66" t="s">
        <v>108</v>
      </c>
      <c r="C50" s="110" t="s">
        <v>87</v>
      </c>
      <c r="D50" s="89" t="s">
        <v>204</v>
      </c>
      <c r="E50" s="112"/>
      <c r="F50" s="7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ht="22.5" hidden="1" customHeight="1">
      <c r="A51" s="108">
        <f t="shared" si="1"/>
        <v>50</v>
      </c>
      <c r="B51" s="73" t="s">
        <v>110</v>
      </c>
      <c r="C51" s="110" t="s">
        <v>87</v>
      </c>
      <c r="D51" s="89" t="s">
        <v>204</v>
      </c>
      <c r="E51" s="112"/>
      <c r="F51" s="7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ht="22.5" hidden="1" customHeight="1">
      <c r="A52" s="108">
        <f t="shared" si="1"/>
        <v>51</v>
      </c>
      <c r="B52" s="66" t="s">
        <v>105</v>
      </c>
      <c r="C52" s="110" t="s">
        <v>87</v>
      </c>
      <c r="D52" s="89" t="s">
        <v>204</v>
      </c>
      <c r="E52" s="112"/>
      <c r="F52" s="7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ht="22.5" customHeight="1">
      <c r="A53" s="108">
        <f t="shared" si="1"/>
        <v>52</v>
      </c>
      <c r="B53" s="66" t="s">
        <v>113</v>
      </c>
      <c r="C53" s="110" t="s">
        <v>112</v>
      </c>
      <c r="D53" s="78" t="s">
        <v>204</v>
      </c>
      <c r="E53" s="112"/>
      <c r="F53" s="7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ht="22.5" customHeight="1">
      <c r="A54" s="108">
        <f t="shared" si="1"/>
        <v>53</v>
      </c>
      <c r="B54" s="73" t="s">
        <v>114</v>
      </c>
      <c r="C54" s="110" t="s">
        <v>112</v>
      </c>
      <c r="D54" s="82" t="s">
        <v>204</v>
      </c>
      <c r="E54" s="112"/>
      <c r="F54" s="7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ht="22.5" customHeight="1">
      <c r="A55" s="108">
        <f t="shared" si="1"/>
        <v>54</v>
      </c>
      <c r="B55" s="66" t="s">
        <v>116</v>
      </c>
      <c r="C55" s="110" t="s">
        <v>112</v>
      </c>
      <c r="D55" s="78" t="s">
        <v>204</v>
      </c>
      <c r="E55" s="112"/>
      <c r="F55" s="7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ht="22.5" customHeight="1">
      <c r="A56" s="108">
        <f t="shared" si="1"/>
        <v>55</v>
      </c>
      <c r="B56" s="73" t="s">
        <v>117</v>
      </c>
      <c r="C56" s="110" t="s">
        <v>112</v>
      </c>
      <c r="D56" s="82" t="s">
        <v>204</v>
      </c>
      <c r="E56" s="112"/>
      <c r="F56" s="7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ht="22.5" customHeight="1">
      <c r="A57" s="108">
        <f t="shared" si="1"/>
        <v>56</v>
      </c>
      <c r="B57" s="66" t="s">
        <v>118</v>
      </c>
      <c r="C57" s="110" t="s">
        <v>112</v>
      </c>
      <c r="D57" s="78" t="s">
        <v>204</v>
      </c>
      <c r="E57" s="112"/>
      <c r="F57" s="7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 ht="22.5" customHeight="1">
      <c r="A58" s="108">
        <f t="shared" si="1"/>
        <v>57</v>
      </c>
      <c r="B58" s="73" t="s">
        <v>119</v>
      </c>
      <c r="C58" s="110" t="s">
        <v>112</v>
      </c>
      <c r="D58" s="82" t="s">
        <v>204</v>
      </c>
      <c r="E58" s="112"/>
      <c r="F58" s="7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ht="22.5" customHeight="1">
      <c r="A59" s="108">
        <f t="shared" si="1"/>
        <v>58</v>
      </c>
      <c r="B59" s="66" t="s">
        <v>120</v>
      </c>
      <c r="C59" s="110" t="s">
        <v>112</v>
      </c>
      <c r="D59" s="78" t="s">
        <v>204</v>
      </c>
      <c r="E59" s="112"/>
      <c r="F59" s="7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ht="22.5" customHeight="1">
      <c r="A60" s="108">
        <f t="shared" si="1"/>
        <v>59</v>
      </c>
      <c r="B60" s="73" t="s">
        <v>122</v>
      </c>
      <c r="C60" s="110" t="s">
        <v>112</v>
      </c>
      <c r="D60" s="82" t="s">
        <v>204</v>
      </c>
      <c r="E60" s="112"/>
      <c r="F60" s="7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ht="22.5" customHeight="1">
      <c r="A61" s="108">
        <f t="shared" si="1"/>
        <v>60</v>
      </c>
      <c r="B61" s="66" t="s">
        <v>124</v>
      </c>
      <c r="C61" s="110" t="s">
        <v>112</v>
      </c>
      <c r="D61" s="118" t="s">
        <v>235</v>
      </c>
      <c r="E61" s="112"/>
      <c r="F61" s="119">
        <v>46266.0</v>
      </c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ht="22.5" customHeight="1">
      <c r="A62" s="108">
        <f t="shared" si="1"/>
        <v>61</v>
      </c>
      <c r="B62" s="73" t="s">
        <v>125</v>
      </c>
      <c r="C62" s="110" t="s">
        <v>112</v>
      </c>
      <c r="D62" s="89" t="s">
        <v>204</v>
      </c>
      <c r="E62" s="112"/>
      <c r="F62" s="7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ht="22.5" customHeight="1">
      <c r="A63" s="108">
        <f t="shared" si="1"/>
        <v>62</v>
      </c>
      <c r="B63" s="66" t="s">
        <v>127</v>
      </c>
      <c r="C63" s="110" t="s">
        <v>112</v>
      </c>
      <c r="D63" s="78" t="s">
        <v>204</v>
      </c>
      <c r="E63" s="112"/>
      <c r="F63" s="7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ht="22.5" customHeight="1">
      <c r="A64" s="108">
        <f t="shared" si="1"/>
        <v>63</v>
      </c>
      <c r="B64" s="73" t="s">
        <v>128</v>
      </c>
      <c r="C64" s="110" t="s">
        <v>112</v>
      </c>
      <c r="D64" s="89" t="s">
        <v>204</v>
      </c>
      <c r="E64" s="112"/>
      <c r="F64" s="7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ht="22.5" customHeight="1">
      <c r="A65" s="108">
        <f t="shared" si="1"/>
        <v>64</v>
      </c>
      <c r="B65" s="101" t="s">
        <v>130</v>
      </c>
      <c r="C65" s="110" t="s">
        <v>112</v>
      </c>
      <c r="D65" s="78" t="s">
        <v>204</v>
      </c>
      <c r="E65" s="112"/>
      <c r="F65" s="7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ht="22.5" customHeight="1">
      <c r="A66" s="108">
        <f t="shared" si="1"/>
        <v>65</v>
      </c>
      <c r="B66" s="73" t="s">
        <v>131</v>
      </c>
      <c r="C66" s="110" t="s">
        <v>112</v>
      </c>
      <c r="D66" s="89" t="s">
        <v>204</v>
      </c>
      <c r="E66" s="112"/>
      <c r="F66" s="7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ht="22.5" customHeight="1">
      <c r="A67" s="108">
        <f t="shared" si="1"/>
        <v>66</v>
      </c>
      <c r="B67" s="66" t="s">
        <v>132</v>
      </c>
      <c r="C67" s="110" t="s">
        <v>112</v>
      </c>
      <c r="D67" s="78" t="s">
        <v>204</v>
      </c>
      <c r="E67" s="112"/>
      <c r="F67" s="7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ht="22.5" customHeight="1">
      <c r="A68" s="108">
        <f t="shared" si="1"/>
        <v>67</v>
      </c>
      <c r="B68" s="73" t="s">
        <v>133</v>
      </c>
      <c r="C68" s="110" t="s">
        <v>112</v>
      </c>
      <c r="D68" s="89" t="s">
        <v>204</v>
      </c>
      <c r="E68" s="112"/>
      <c r="F68" s="7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ht="22.5" customHeight="1">
      <c r="A69" s="108">
        <f t="shared" si="1"/>
        <v>68</v>
      </c>
      <c r="B69" s="120" t="s">
        <v>121</v>
      </c>
      <c r="C69" s="110" t="s">
        <v>112</v>
      </c>
      <c r="D69" s="78" t="s">
        <v>204</v>
      </c>
      <c r="E69" s="112"/>
      <c r="F69" s="7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ht="22.5" hidden="1" customHeight="1">
      <c r="A70" s="108">
        <f t="shared" si="1"/>
        <v>69</v>
      </c>
      <c r="B70" s="109" t="s">
        <v>137</v>
      </c>
      <c r="C70" s="110" t="s">
        <v>135</v>
      </c>
      <c r="D70" s="78" t="s">
        <v>204</v>
      </c>
      <c r="E70" s="112"/>
      <c r="F70" s="7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ht="22.5" hidden="1" customHeight="1">
      <c r="A71" s="108">
        <f t="shared" si="1"/>
        <v>70</v>
      </c>
      <c r="B71" s="113" t="s">
        <v>138</v>
      </c>
      <c r="C71" s="110" t="s">
        <v>135</v>
      </c>
      <c r="D71" s="78" t="s">
        <v>204</v>
      </c>
      <c r="E71" s="112"/>
      <c r="F71" s="7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ht="22.5" hidden="1" customHeight="1">
      <c r="A72" s="108">
        <f t="shared" si="1"/>
        <v>71</v>
      </c>
      <c r="B72" s="66" t="s">
        <v>140</v>
      </c>
      <c r="C72" s="110" t="s">
        <v>135</v>
      </c>
      <c r="D72" s="78" t="s">
        <v>204</v>
      </c>
      <c r="E72" s="112"/>
      <c r="F72" s="7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ht="22.5" hidden="1" customHeight="1">
      <c r="A73" s="108">
        <f t="shared" si="1"/>
        <v>72</v>
      </c>
      <c r="B73" s="73" t="s">
        <v>141</v>
      </c>
      <c r="C73" s="110" t="s">
        <v>135</v>
      </c>
      <c r="D73" s="78" t="s">
        <v>204</v>
      </c>
      <c r="E73" s="112"/>
      <c r="F73" s="7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  <row r="74" ht="22.5" hidden="1" customHeight="1">
      <c r="A74" s="108">
        <f t="shared" si="1"/>
        <v>73</v>
      </c>
      <c r="B74" s="66" t="s">
        <v>142</v>
      </c>
      <c r="C74" s="110" t="s">
        <v>135</v>
      </c>
      <c r="D74" s="78" t="s">
        <v>204</v>
      </c>
      <c r="E74" s="112"/>
      <c r="F74" s="7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</row>
    <row r="75" ht="22.5" hidden="1" customHeight="1">
      <c r="A75" s="108">
        <f t="shared" si="1"/>
        <v>74</v>
      </c>
      <c r="B75" s="73" t="s">
        <v>143</v>
      </c>
      <c r="C75" s="110" t="s">
        <v>135</v>
      </c>
      <c r="D75" s="78" t="s">
        <v>204</v>
      </c>
      <c r="E75" s="112"/>
      <c r="F75" s="7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</row>
    <row r="76" ht="22.5" hidden="1" customHeight="1">
      <c r="A76" s="108">
        <f t="shared" si="1"/>
        <v>75</v>
      </c>
      <c r="B76" s="66" t="s">
        <v>144</v>
      </c>
      <c r="C76" s="110" t="s">
        <v>135</v>
      </c>
      <c r="D76" s="78" t="s">
        <v>204</v>
      </c>
      <c r="E76" s="112"/>
      <c r="F76" s="7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</row>
    <row r="77" ht="22.5" hidden="1" customHeight="1">
      <c r="A77" s="108">
        <f t="shared" si="1"/>
        <v>76</v>
      </c>
      <c r="B77" s="73" t="s">
        <v>136</v>
      </c>
      <c r="C77" s="110" t="s">
        <v>135</v>
      </c>
      <c r="D77" s="78" t="s">
        <v>204</v>
      </c>
      <c r="E77" s="112"/>
      <c r="F77" s="7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</row>
    <row r="78" ht="22.5" hidden="1" customHeight="1">
      <c r="A78" s="108">
        <f t="shared" si="1"/>
        <v>77</v>
      </c>
      <c r="B78" s="66" t="s">
        <v>145</v>
      </c>
      <c r="C78" s="110" t="s">
        <v>135</v>
      </c>
      <c r="D78" s="78" t="s">
        <v>204</v>
      </c>
      <c r="E78" s="112"/>
      <c r="F78" s="7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</row>
    <row r="79" ht="22.5" hidden="1" customHeight="1">
      <c r="A79" s="108">
        <f t="shared" si="1"/>
        <v>78</v>
      </c>
      <c r="B79" s="66" t="s">
        <v>154</v>
      </c>
      <c r="C79" s="110" t="s">
        <v>147</v>
      </c>
      <c r="D79" s="78" t="s">
        <v>204</v>
      </c>
      <c r="E79" s="112"/>
      <c r="F79" s="7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</row>
    <row r="80" ht="22.5" hidden="1" customHeight="1">
      <c r="A80" s="108">
        <f t="shared" si="1"/>
        <v>79</v>
      </c>
      <c r="B80" s="73" t="s">
        <v>150</v>
      </c>
      <c r="C80" s="110" t="s">
        <v>147</v>
      </c>
      <c r="D80" s="78" t="s">
        <v>204</v>
      </c>
      <c r="E80" s="112"/>
      <c r="F80" s="7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</row>
    <row r="81" ht="22.5" hidden="1" customHeight="1">
      <c r="A81" s="108">
        <f t="shared" si="1"/>
        <v>80</v>
      </c>
      <c r="B81" s="66" t="s">
        <v>159</v>
      </c>
      <c r="C81" s="110" t="s">
        <v>147</v>
      </c>
      <c r="D81" s="78" t="s">
        <v>204</v>
      </c>
      <c r="E81" s="112"/>
      <c r="F81" s="7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</row>
    <row r="82" ht="22.5" hidden="1" customHeight="1">
      <c r="A82" s="108">
        <f t="shared" si="1"/>
        <v>81</v>
      </c>
      <c r="B82" s="73" t="s">
        <v>156</v>
      </c>
      <c r="C82" s="110" t="s">
        <v>147</v>
      </c>
      <c r="D82" s="78" t="s">
        <v>204</v>
      </c>
      <c r="E82" s="112"/>
      <c r="F82" s="7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</row>
    <row r="83" ht="22.5" hidden="1" customHeight="1">
      <c r="A83" s="108">
        <f t="shared" si="1"/>
        <v>82</v>
      </c>
      <c r="B83" s="66" t="s">
        <v>152</v>
      </c>
      <c r="C83" s="110" t="s">
        <v>147</v>
      </c>
      <c r="D83" s="78" t="s">
        <v>204</v>
      </c>
      <c r="E83" s="112"/>
      <c r="F83" s="7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</row>
    <row r="84" ht="22.5" hidden="1" customHeight="1">
      <c r="A84" s="108">
        <f t="shared" si="1"/>
        <v>83</v>
      </c>
      <c r="B84" s="73" t="s">
        <v>162</v>
      </c>
      <c r="C84" s="110" t="s">
        <v>147</v>
      </c>
      <c r="D84" s="78" t="s">
        <v>204</v>
      </c>
      <c r="E84" s="112"/>
      <c r="F84" s="7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</row>
    <row r="85" ht="22.5" hidden="1" customHeight="1">
      <c r="A85" s="108">
        <f t="shared" si="1"/>
        <v>84</v>
      </c>
      <c r="B85" s="66" t="s">
        <v>151</v>
      </c>
      <c r="C85" s="110" t="s">
        <v>147</v>
      </c>
      <c r="D85" s="78" t="s">
        <v>204</v>
      </c>
      <c r="E85" s="112"/>
      <c r="F85" s="7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</row>
    <row r="86" ht="22.5" hidden="1" customHeight="1">
      <c r="A86" s="108">
        <f t="shared" si="1"/>
        <v>85</v>
      </c>
      <c r="B86" s="73" t="s">
        <v>155</v>
      </c>
      <c r="C86" s="110" t="s">
        <v>147</v>
      </c>
      <c r="D86" s="78" t="s">
        <v>204</v>
      </c>
      <c r="E86" s="112"/>
      <c r="F86" s="7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</row>
    <row r="87" ht="22.5" hidden="1" customHeight="1">
      <c r="A87" s="108">
        <f t="shared" si="1"/>
        <v>86</v>
      </c>
      <c r="B87" s="66" t="s">
        <v>148</v>
      </c>
      <c r="C87" s="110" t="s">
        <v>147</v>
      </c>
      <c r="D87" s="78" t="s">
        <v>204</v>
      </c>
      <c r="E87" s="112"/>
      <c r="F87" s="7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</row>
    <row r="88" ht="22.5" hidden="1" customHeight="1">
      <c r="A88" s="108">
        <f t="shared" si="1"/>
        <v>87</v>
      </c>
      <c r="B88" s="73" t="s">
        <v>161</v>
      </c>
      <c r="C88" s="110" t="s">
        <v>147</v>
      </c>
      <c r="D88" s="78" t="s">
        <v>204</v>
      </c>
      <c r="E88" s="112"/>
      <c r="F88" s="7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</row>
    <row r="89" ht="22.5" hidden="1" customHeight="1">
      <c r="A89" s="108">
        <f t="shared" si="1"/>
        <v>88</v>
      </c>
      <c r="B89" s="66" t="s">
        <v>160</v>
      </c>
      <c r="C89" s="110" t="s">
        <v>147</v>
      </c>
      <c r="D89" s="78" t="s">
        <v>204</v>
      </c>
      <c r="E89" s="112"/>
      <c r="F89" s="7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</row>
    <row r="90" ht="22.5" hidden="1" customHeight="1">
      <c r="A90" s="108">
        <f t="shared" si="1"/>
        <v>89</v>
      </c>
      <c r="B90" s="73" t="s">
        <v>153</v>
      </c>
      <c r="C90" s="110" t="s">
        <v>147</v>
      </c>
      <c r="D90" s="78" t="s">
        <v>204</v>
      </c>
      <c r="E90" s="112"/>
      <c r="F90" s="7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</row>
    <row r="91" ht="22.5" hidden="1" customHeight="1">
      <c r="A91" s="108">
        <f t="shared" si="1"/>
        <v>90</v>
      </c>
      <c r="B91" s="66" t="s">
        <v>163</v>
      </c>
      <c r="C91" s="110" t="s">
        <v>147</v>
      </c>
      <c r="D91" s="78" t="s">
        <v>204</v>
      </c>
      <c r="E91" s="112"/>
      <c r="F91" s="7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</row>
    <row r="92" ht="22.5" hidden="1" customHeight="1">
      <c r="A92" s="108">
        <f t="shared" si="1"/>
        <v>91</v>
      </c>
      <c r="B92" s="123" t="s">
        <v>158</v>
      </c>
      <c r="C92" s="110" t="s">
        <v>147</v>
      </c>
      <c r="D92" s="78" t="s">
        <v>204</v>
      </c>
      <c r="E92" s="112"/>
      <c r="F92" s="7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</row>
    <row r="9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</row>
    <row r="94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</row>
    <row r="9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</row>
    <row r="96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</row>
    <row r="97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</row>
    <row r="98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</row>
    <row r="99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</row>
    <row r="100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</row>
    <row r="10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</row>
    <row r="102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</row>
    <row r="10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</row>
    <row r="104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</row>
    <row r="10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</row>
    <row r="106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</row>
    <row r="107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</row>
    <row r="108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</row>
    <row r="109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</row>
    <row r="110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</row>
    <row r="11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</row>
    <row r="112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</row>
    <row r="11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</row>
    <row r="114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</row>
    <row r="11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</row>
    <row r="116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</row>
    <row r="117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</row>
    <row r="118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</row>
    <row r="119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</row>
    <row r="120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</row>
    <row r="12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</row>
    <row r="122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</row>
    <row r="1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</row>
    <row r="124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</row>
    <row r="12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</row>
    <row r="126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</row>
    <row r="127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</row>
    <row r="128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</row>
    <row r="129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</row>
    <row r="130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</row>
    <row r="13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</row>
    <row r="132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</row>
    <row r="13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</row>
    <row r="134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</row>
    <row r="13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</row>
    <row r="136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</row>
    <row r="137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</row>
    <row r="138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</row>
    <row r="139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</row>
    <row r="140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</row>
    <row r="14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</row>
    <row r="142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</row>
    <row r="14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</row>
    <row r="144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</row>
    <row r="14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</row>
    <row r="146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</row>
    <row r="147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</row>
    <row r="148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</row>
    <row r="149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</row>
    <row r="150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</row>
    <row r="15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</row>
    <row r="152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</row>
    <row r="15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</row>
    <row r="154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</row>
    <row r="15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</row>
    <row r="156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</row>
    <row r="157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</row>
    <row r="158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</row>
    <row r="159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</row>
    <row r="160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</row>
    <row r="16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</row>
    <row r="162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</row>
    <row r="163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</row>
    <row r="164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</row>
    <row r="16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</row>
    <row r="166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</row>
    <row r="167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</row>
    <row r="168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</row>
    <row r="169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</row>
    <row r="170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</row>
    <row r="17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</row>
    <row r="172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</row>
    <row r="17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</row>
    <row r="174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</row>
    <row r="17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</row>
    <row r="176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</row>
    <row r="177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</row>
    <row r="178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</row>
    <row r="179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</row>
    <row r="180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</row>
    <row r="18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</row>
    <row r="182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</row>
    <row r="18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</row>
    <row r="184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</row>
    <row r="18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</row>
    <row r="186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</row>
    <row r="187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</row>
    <row r="188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</row>
    <row r="189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</row>
    <row r="190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</row>
    <row r="19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</row>
    <row r="192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</row>
    <row r="19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</row>
    <row r="194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</row>
    <row r="19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</row>
    <row r="196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</row>
    <row r="197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</row>
    <row r="198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</row>
    <row r="199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</row>
    <row r="200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</row>
    <row r="20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</row>
    <row r="202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</row>
    <row r="20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</row>
    <row r="204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</row>
    <row r="20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</row>
    <row r="206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</row>
    <row r="207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</row>
    <row r="208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</row>
    <row r="209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</row>
    <row r="210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</row>
    <row r="21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</row>
    <row r="212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</row>
    <row r="21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</row>
    <row r="214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</row>
    <row r="21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</row>
    <row r="216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</row>
    <row r="217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</row>
    <row r="218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</row>
    <row r="219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</row>
    <row r="220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</row>
    <row r="22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</row>
    <row r="222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</row>
    <row r="22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</row>
    <row r="224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</row>
    <row r="22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</row>
    <row r="226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</row>
    <row r="227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</row>
    <row r="228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</row>
    <row r="229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</row>
    <row r="230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</row>
    <row r="23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</row>
    <row r="232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</row>
    <row r="23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</row>
    <row r="234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</row>
    <row r="23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</row>
    <row r="236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</row>
    <row r="237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</row>
    <row r="238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</row>
    <row r="239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</row>
    <row r="240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</row>
    <row r="24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</row>
    <row r="242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</row>
    <row r="24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</row>
    <row r="244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</row>
    <row r="24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</row>
    <row r="246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</row>
    <row r="247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</row>
    <row r="248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</row>
    <row r="249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</row>
    <row r="250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</row>
    <row r="25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</row>
    <row r="252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</row>
    <row r="25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</row>
    <row r="254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</row>
    <row r="25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</row>
    <row r="256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</row>
    <row r="257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</row>
    <row r="258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</row>
    <row r="259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</row>
    <row r="260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</row>
    <row r="26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</row>
    <row r="262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</row>
    <row r="26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</row>
    <row r="264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</row>
    <row r="26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</row>
    <row r="266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</row>
    <row r="267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</row>
    <row r="268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</row>
    <row r="269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</row>
    <row r="270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</row>
    <row r="27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</row>
    <row r="272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</row>
    <row r="27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</row>
    <row r="274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</row>
    <row r="27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</row>
    <row r="276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</row>
    <row r="277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</row>
    <row r="278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</row>
    <row r="279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</row>
    <row r="280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</row>
    <row r="28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</row>
    <row r="282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</row>
    <row r="28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</row>
    <row r="284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</row>
    <row r="28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</row>
    <row r="286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</row>
    <row r="287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</row>
    <row r="288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</row>
    <row r="289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</row>
    <row r="290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</row>
    <row r="29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</row>
    <row r="292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</row>
    <row r="29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</row>
    <row r="294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</row>
    <row r="29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</row>
    <row r="296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</row>
    <row r="297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</row>
    <row r="298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</row>
    <row r="299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</row>
    <row r="300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</row>
    <row r="30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</row>
    <row r="302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</row>
    <row r="30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</row>
    <row r="304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</row>
    <row r="30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</row>
    <row r="306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</row>
    <row r="307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</row>
    <row r="308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</row>
    <row r="309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</row>
    <row r="310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</row>
    <row r="31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</row>
    <row r="312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</row>
    <row r="31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</row>
    <row r="314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</row>
    <row r="31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</row>
    <row r="316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</row>
    <row r="317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</row>
    <row r="318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</row>
    <row r="319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</row>
    <row r="320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</row>
    <row r="32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</row>
    <row r="322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</row>
    <row r="32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</row>
    <row r="324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</row>
    <row r="32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</row>
    <row r="326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</row>
    <row r="327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</row>
    <row r="328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</row>
    <row r="329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</row>
    <row r="330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</row>
    <row r="33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</row>
    <row r="332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</row>
    <row r="33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</row>
    <row r="334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</row>
    <row r="33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</row>
    <row r="336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</row>
    <row r="337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</row>
    <row r="338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</row>
    <row r="339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</row>
    <row r="340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</row>
    <row r="34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</row>
    <row r="342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</row>
    <row r="34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</row>
    <row r="344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</row>
    <row r="34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</row>
    <row r="346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</row>
    <row r="347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</row>
    <row r="348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</row>
    <row r="349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</row>
    <row r="350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</row>
    <row r="35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</row>
    <row r="352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</row>
    <row r="35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</row>
    <row r="354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</row>
    <row r="35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</row>
    <row r="356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</row>
    <row r="357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</row>
    <row r="358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</row>
    <row r="359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</row>
    <row r="360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</row>
    <row r="36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</row>
    <row r="362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</row>
    <row r="36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</row>
    <row r="364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</row>
    <row r="36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</row>
    <row r="366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</row>
    <row r="367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</row>
    <row r="368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</row>
    <row r="369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</row>
    <row r="370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</row>
    <row r="37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</row>
    <row r="372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</row>
    <row r="37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</row>
    <row r="374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</row>
    <row r="37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</row>
    <row r="376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</row>
    <row r="377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</row>
    <row r="378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</row>
    <row r="379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</row>
    <row r="380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</row>
    <row r="38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</row>
    <row r="382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</row>
    <row r="38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</row>
    <row r="384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</row>
    <row r="38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</row>
    <row r="386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</row>
    <row r="387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</row>
    <row r="388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</row>
    <row r="389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</row>
    <row r="390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</row>
    <row r="39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</row>
    <row r="392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</row>
    <row r="39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</row>
    <row r="394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</row>
    <row r="39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</row>
    <row r="396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</row>
    <row r="397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</row>
    <row r="398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</row>
    <row r="399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</row>
    <row r="400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</row>
    <row r="40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</row>
    <row r="402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</row>
    <row r="40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</row>
    <row r="404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</row>
    <row r="40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</row>
    <row r="406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</row>
    <row r="407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</row>
    <row r="408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</row>
    <row r="409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</row>
    <row r="410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</row>
    <row r="41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</row>
    <row r="412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</row>
    <row r="41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</row>
    <row r="414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</row>
    <row r="41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</row>
    <row r="416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</row>
    <row r="417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</row>
    <row r="418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</row>
    <row r="419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</row>
    <row r="420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</row>
    <row r="42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</row>
    <row r="422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</row>
    <row r="42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</row>
    <row r="424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</row>
    <row r="42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</row>
    <row r="426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</row>
    <row r="427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</row>
    <row r="428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</row>
    <row r="429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</row>
    <row r="430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</row>
    <row r="43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</row>
    <row r="432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</row>
    <row r="43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</row>
    <row r="434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</row>
    <row r="43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</row>
    <row r="436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</row>
    <row r="437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</row>
    <row r="438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</row>
    <row r="439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</row>
    <row r="440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</row>
    <row r="44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</row>
    <row r="442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</row>
    <row r="44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</row>
    <row r="444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</row>
    <row r="44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</row>
    <row r="446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</row>
    <row r="447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</row>
    <row r="448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</row>
    <row r="449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</row>
    <row r="450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</row>
    <row r="45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</row>
    <row r="452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</row>
    <row r="45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</row>
    <row r="454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</row>
    <row r="45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</row>
    <row r="456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</row>
    <row r="457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</row>
    <row r="458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</row>
    <row r="459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</row>
    <row r="460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</row>
    <row r="46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</row>
    <row r="462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</row>
    <row r="46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</row>
    <row r="464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</row>
    <row r="46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</row>
    <row r="466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</row>
    <row r="467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</row>
    <row r="468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</row>
    <row r="469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</row>
    <row r="470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</row>
    <row r="47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</row>
    <row r="472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</row>
    <row r="47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</row>
    <row r="474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</row>
    <row r="47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</row>
    <row r="476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</row>
    <row r="477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</row>
    <row r="478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</row>
    <row r="479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</row>
    <row r="480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</row>
    <row r="48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</row>
    <row r="482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</row>
    <row r="48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</row>
    <row r="484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</row>
    <row r="48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</row>
    <row r="486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</row>
    <row r="487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</row>
    <row r="488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</row>
    <row r="489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</row>
    <row r="490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</row>
    <row r="49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</row>
    <row r="492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</row>
    <row r="49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</row>
    <row r="494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</row>
    <row r="49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</row>
    <row r="496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</row>
    <row r="497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</row>
    <row r="498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</row>
    <row r="499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</row>
    <row r="500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</row>
    <row r="50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</row>
    <row r="502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</row>
    <row r="50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</row>
    <row r="504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</row>
    <row r="50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</row>
    <row r="506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</row>
    <row r="507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</row>
    <row r="508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</row>
    <row r="509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</row>
    <row r="510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</row>
    <row r="51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</row>
    <row r="512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</row>
    <row r="51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</row>
    <row r="514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</row>
    <row r="51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</row>
    <row r="516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</row>
    <row r="517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</row>
    <row r="518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</row>
    <row r="519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</row>
    <row r="520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</row>
    <row r="52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</row>
    <row r="522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</row>
    <row r="52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</row>
    <row r="524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</row>
    <row r="52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</row>
    <row r="526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</row>
    <row r="527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</row>
    <row r="528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</row>
    <row r="529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</row>
    <row r="530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</row>
    <row r="53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</row>
    <row r="532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</row>
    <row r="53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</row>
    <row r="534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</row>
    <row r="53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</row>
    <row r="536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</row>
    <row r="537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</row>
    <row r="538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</row>
    <row r="539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</row>
    <row r="540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</row>
    <row r="54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</row>
    <row r="542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</row>
    <row r="54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</row>
    <row r="544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</row>
    <row r="54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</row>
    <row r="546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</row>
    <row r="547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</row>
    <row r="548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</row>
    <row r="549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</row>
    <row r="550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</row>
    <row r="55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</row>
    <row r="552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</row>
    <row r="55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</row>
    <row r="554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</row>
    <row r="55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</row>
    <row r="556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</row>
    <row r="557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</row>
    <row r="558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</row>
    <row r="559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</row>
    <row r="560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</row>
    <row r="56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</row>
    <row r="562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</row>
    <row r="56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</row>
    <row r="564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</row>
    <row r="56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</row>
    <row r="566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</row>
    <row r="567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</row>
    <row r="568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</row>
    <row r="569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</row>
    <row r="570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</row>
    <row r="57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</row>
    <row r="572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</row>
    <row r="57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</row>
    <row r="574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</row>
    <row r="57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</row>
    <row r="576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</row>
    <row r="577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</row>
    <row r="578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</row>
    <row r="579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</row>
    <row r="580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</row>
    <row r="58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</row>
    <row r="582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</row>
    <row r="58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</row>
    <row r="584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</row>
    <row r="58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</row>
    <row r="586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</row>
    <row r="587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</row>
    <row r="588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</row>
    <row r="589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</row>
    <row r="590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</row>
    <row r="59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</row>
    <row r="592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</row>
    <row r="59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</row>
    <row r="594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</row>
    <row r="59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</row>
    <row r="596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</row>
    <row r="597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</row>
    <row r="598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</row>
    <row r="599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</row>
    <row r="600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</row>
    <row r="60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</row>
    <row r="602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</row>
    <row r="60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</row>
    <row r="604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</row>
    <row r="60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</row>
    <row r="606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</row>
    <row r="607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</row>
    <row r="608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</row>
    <row r="609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</row>
    <row r="610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</row>
    <row r="61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</row>
    <row r="612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</row>
    <row r="61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</row>
    <row r="614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</row>
    <row r="61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</row>
    <row r="616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</row>
    <row r="617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</row>
    <row r="618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</row>
    <row r="619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</row>
    <row r="620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</row>
    <row r="62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</row>
    <row r="622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</row>
    <row r="62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</row>
    <row r="624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</row>
    <row r="62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</row>
    <row r="626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</row>
    <row r="627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</row>
    <row r="628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</row>
    <row r="629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</row>
    <row r="630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</row>
    <row r="63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</row>
    <row r="632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</row>
    <row r="63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</row>
    <row r="634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</row>
    <row r="63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</row>
    <row r="636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</row>
    <row r="637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</row>
    <row r="638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</row>
    <row r="639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</row>
    <row r="640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</row>
    <row r="64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</row>
    <row r="642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</row>
    <row r="64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</row>
    <row r="644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</row>
    <row r="64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</row>
    <row r="646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</row>
    <row r="647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</row>
    <row r="648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</row>
    <row r="649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</row>
    <row r="650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</row>
    <row r="65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</row>
    <row r="652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</row>
    <row r="65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</row>
    <row r="654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</row>
    <row r="65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</row>
    <row r="656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</row>
    <row r="657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</row>
    <row r="658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</row>
    <row r="659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</row>
    <row r="660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</row>
    <row r="66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</row>
    <row r="662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</row>
    <row r="66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</row>
    <row r="664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</row>
    <row r="66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</row>
    <row r="666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</row>
    <row r="667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</row>
    <row r="668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</row>
    <row r="669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</row>
    <row r="670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</row>
    <row r="67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</row>
    <row r="672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</row>
    <row r="67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</row>
    <row r="674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</row>
    <row r="67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</row>
    <row r="676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</row>
    <row r="677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</row>
    <row r="678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</row>
    <row r="679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</row>
    <row r="680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</row>
    <row r="68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</row>
    <row r="682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</row>
    <row r="68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</row>
    <row r="684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</row>
    <row r="68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</row>
    <row r="686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</row>
    <row r="687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</row>
    <row r="688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</row>
    <row r="689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</row>
    <row r="690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</row>
    <row r="69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</row>
    <row r="692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</row>
    <row r="69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</row>
    <row r="694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</row>
    <row r="69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</row>
    <row r="696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</row>
    <row r="697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</row>
    <row r="698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</row>
    <row r="699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</row>
    <row r="700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</row>
    <row r="70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</row>
    <row r="702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</row>
    <row r="70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</row>
    <row r="704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</row>
    <row r="70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</row>
    <row r="706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</row>
    <row r="707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</row>
    <row r="708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</row>
    <row r="709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</row>
    <row r="710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</row>
    <row r="71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</row>
    <row r="712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</row>
    <row r="71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</row>
    <row r="714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</row>
    <row r="71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</row>
    <row r="716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</row>
    <row r="717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</row>
    <row r="718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</row>
    <row r="719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</row>
    <row r="720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</row>
    <row r="72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</row>
    <row r="722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</row>
    <row r="72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</row>
    <row r="724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</row>
    <row r="72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</row>
    <row r="726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</row>
    <row r="727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</row>
    <row r="728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</row>
    <row r="729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</row>
    <row r="730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</row>
    <row r="73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</row>
    <row r="732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</row>
    <row r="73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</row>
    <row r="734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</row>
    <row r="73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</row>
    <row r="736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</row>
    <row r="737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</row>
    <row r="738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</row>
    <row r="739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</row>
    <row r="740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</row>
    <row r="74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</row>
    <row r="742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</row>
    <row r="74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</row>
    <row r="744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</row>
    <row r="74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</row>
    <row r="746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</row>
    <row r="747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</row>
    <row r="748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</row>
    <row r="749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</row>
    <row r="750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</row>
    <row r="75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</row>
    <row r="752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</row>
    <row r="75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</row>
    <row r="754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</row>
    <row r="75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</row>
    <row r="756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</row>
    <row r="757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</row>
    <row r="758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</row>
    <row r="759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</row>
    <row r="760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</row>
    <row r="76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</row>
    <row r="762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</row>
    <row r="76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</row>
    <row r="764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</row>
    <row r="76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</row>
    <row r="766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</row>
    <row r="767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</row>
    <row r="768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</row>
    <row r="769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</row>
    <row r="770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</row>
    <row r="77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</row>
    <row r="772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</row>
    <row r="77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</row>
    <row r="774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</row>
    <row r="77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</row>
    <row r="776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</row>
    <row r="777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</row>
    <row r="778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</row>
    <row r="779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</row>
    <row r="780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</row>
    <row r="78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</row>
    <row r="782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</row>
    <row r="78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</row>
    <row r="784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</row>
    <row r="78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</row>
    <row r="786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</row>
    <row r="787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</row>
    <row r="788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</row>
    <row r="789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</row>
    <row r="790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</row>
    <row r="79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</row>
    <row r="792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</row>
    <row r="79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</row>
    <row r="794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</row>
    <row r="79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</row>
    <row r="796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</row>
    <row r="797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</row>
    <row r="798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</row>
    <row r="799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</row>
    <row r="800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</row>
    <row r="80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</row>
    <row r="802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</row>
    <row r="80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</row>
    <row r="804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</row>
    <row r="80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</row>
    <row r="806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</row>
    <row r="807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</row>
    <row r="808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</row>
    <row r="809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</row>
    <row r="810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</row>
    <row r="81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</row>
    <row r="812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</row>
    <row r="81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</row>
    <row r="814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</row>
    <row r="81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</row>
    <row r="816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</row>
    <row r="817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</row>
    <row r="818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</row>
    <row r="819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</row>
    <row r="820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</row>
    <row r="82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</row>
    <row r="822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</row>
    <row r="82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</row>
    <row r="824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</row>
    <row r="82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</row>
    <row r="826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</row>
    <row r="827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</row>
    <row r="828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</row>
    <row r="829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</row>
    <row r="830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</row>
    <row r="83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</row>
    <row r="832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</row>
    <row r="83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</row>
    <row r="834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</row>
    <row r="83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</row>
    <row r="836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</row>
    <row r="837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</row>
    <row r="838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</row>
    <row r="839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</row>
    <row r="840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</row>
    <row r="84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</row>
    <row r="842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</row>
    <row r="84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</row>
    <row r="844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</row>
    <row r="84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</row>
    <row r="846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</row>
    <row r="847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</row>
    <row r="848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</row>
    <row r="849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</row>
    <row r="850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</row>
    <row r="85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</row>
    <row r="852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</row>
    <row r="85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</row>
    <row r="854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</row>
    <row r="85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</row>
    <row r="856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</row>
    <row r="857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</row>
    <row r="858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</row>
    <row r="859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</row>
    <row r="860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</row>
    <row r="86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</row>
    <row r="862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</row>
    <row r="86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</row>
    <row r="864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</row>
    <row r="86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</row>
    <row r="866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</row>
    <row r="867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</row>
    <row r="868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</row>
    <row r="869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</row>
    <row r="870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</row>
    <row r="87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</row>
    <row r="872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</row>
    <row r="87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</row>
    <row r="874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</row>
    <row r="87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</row>
    <row r="876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</row>
    <row r="877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</row>
    <row r="878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</row>
    <row r="879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</row>
    <row r="880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</row>
    <row r="88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</row>
    <row r="882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</row>
    <row r="88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</row>
    <row r="884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</row>
    <row r="88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</row>
    <row r="886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</row>
    <row r="887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</row>
    <row r="888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</row>
    <row r="889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</row>
    <row r="890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</row>
    <row r="89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</row>
    <row r="892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</row>
    <row r="89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</row>
    <row r="894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</row>
    <row r="89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</row>
    <row r="896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</row>
    <row r="897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</row>
    <row r="898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</row>
    <row r="899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</row>
    <row r="900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</row>
    <row r="90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</row>
    <row r="902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</row>
    <row r="90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</row>
    <row r="904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</row>
    <row r="90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</row>
    <row r="906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</row>
    <row r="907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</row>
    <row r="908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</row>
    <row r="909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</row>
    <row r="910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</row>
    <row r="91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</row>
    <row r="912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</row>
    <row r="91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</row>
    <row r="914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</row>
    <row r="91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</row>
    <row r="916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</row>
    <row r="917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</row>
    <row r="918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</row>
    <row r="919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</row>
    <row r="920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</row>
    <row r="92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</row>
    <row r="922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</row>
    <row r="92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</row>
    <row r="924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</row>
    <row r="92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</row>
    <row r="926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</row>
    <row r="927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</row>
    <row r="928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</row>
    <row r="929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</row>
    <row r="930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</row>
    <row r="93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</row>
    <row r="932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</row>
    <row r="93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</row>
    <row r="934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</row>
    <row r="93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</row>
    <row r="936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</row>
    <row r="937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</row>
    <row r="938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</row>
    <row r="939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</row>
    <row r="940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</row>
    <row r="94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</row>
    <row r="942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</row>
    <row r="94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</row>
    <row r="944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</row>
    <row r="94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</row>
    <row r="946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</row>
    <row r="947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</row>
    <row r="948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</row>
    <row r="949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</row>
    <row r="950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</row>
    <row r="95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</row>
    <row r="952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</row>
    <row r="95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</row>
    <row r="954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</row>
    <row r="95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</row>
    <row r="956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</row>
    <row r="957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</row>
    <row r="958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</row>
    <row r="959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</row>
    <row r="960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</row>
    <row r="96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</row>
    <row r="962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</row>
    <row r="96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</row>
    <row r="964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</row>
    <row r="96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</row>
    <row r="966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</row>
    <row r="967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</row>
    <row r="968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</row>
    <row r="969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</row>
    <row r="970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</row>
    <row r="97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</row>
    <row r="972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</row>
    <row r="97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</row>
    <row r="974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</row>
    <row r="97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</row>
    <row r="976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</row>
    <row r="977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</row>
    <row r="978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</row>
    <row r="979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</row>
    <row r="980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</row>
    <row r="98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</row>
    <row r="982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</row>
    <row r="98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</row>
    <row r="984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</row>
    <row r="98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</row>
    <row r="986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</row>
    <row r="987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</row>
    <row r="988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</row>
    <row r="989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</row>
    <row r="990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</row>
    <row r="99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</row>
    <row r="992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</row>
    <row r="99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</row>
    <row r="994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</row>
    <row r="99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</row>
    <row r="996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</row>
    <row r="997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</row>
    <row r="998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</row>
    <row r="999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</row>
    <row r="1000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</row>
  </sheetData>
  <dataValidations>
    <dataValidation type="list" allowBlank="1" sqref="D2:D92">
      <formula1>"Activa,Suspendida,Baja"</formula1>
    </dataValidation>
    <dataValidation type="custom" allowBlank="1" showDropDown="1" sqref="F2:F92">
      <formula1>OR(NOT(ISERROR(DATEVALUE(F2))), AND(ISNUMBER(F2), LEFT(CELL("format", F2))="D"))</formula1>
    </dataValidation>
    <dataValidation type="list" allowBlank="1" sqref="C2:C92">
      <formula1>#REF!</formula1>
    </dataValidation>
    <dataValidation allowBlank="1" showDropDown="1" sqref="B2:B92 E2:E92"/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5.86"/>
    <col customWidth="1" min="3" max="3" width="15.86"/>
    <col customWidth="1" min="4" max="4" width="18.29"/>
    <col customWidth="1" min="5" max="5" width="15.86"/>
    <col customWidth="1" min="6" max="6" width="21.43"/>
    <col customWidth="1" hidden="1" min="7" max="7" width="23.43"/>
  </cols>
  <sheetData>
    <row r="1" ht="22.5" customHeight="1">
      <c r="A1" s="3" t="s">
        <v>201</v>
      </c>
      <c r="B1" s="3" t="s">
        <v>25</v>
      </c>
      <c r="C1" s="3" t="s">
        <v>1</v>
      </c>
      <c r="D1" s="3" t="s">
        <v>258</v>
      </c>
      <c r="E1" s="3" t="s">
        <v>63</v>
      </c>
      <c r="F1" s="4" t="s">
        <v>259</v>
      </c>
      <c r="G1" s="4" t="s">
        <v>260</v>
      </c>
    </row>
    <row r="2" ht="22.5" customHeight="1">
      <c r="A2" s="17">
        <v>1.0</v>
      </c>
      <c r="B2" s="31" t="s">
        <v>226</v>
      </c>
      <c r="C2" s="15" t="s">
        <v>261</v>
      </c>
      <c r="D2" s="124"/>
      <c r="E2" s="15" t="s">
        <v>262</v>
      </c>
      <c r="F2" s="125"/>
      <c r="G2" s="26" t="str">
        <f t="shared" ref="G2:G11" si="1">CONCATENATE(D2, IF(ISBLANK(D2), "", " - "), B2, IF(ISBLANK(D2), CONCATENATE(" - ", C2), ""))</f>
        <v>Anabella - Coordinador</v>
      </c>
    </row>
    <row r="3" ht="22.5" customHeight="1">
      <c r="A3" s="126">
        <f t="shared" ref="A3:A11" si="2">1+A2</f>
        <v>2</v>
      </c>
      <c r="B3" s="31" t="s">
        <v>200</v>
      </c>
      <c r="C3" s="15" t="s">
        <v>265</v>
      </c>
      <c r="D3" s="15" t="s">
        <v>147</v>
      </c>
      <c r="E3" s="15" t="s">
        <v>262</v>
      </c>
      <c r="F3" s="125"/>
      <c r="G3" s="26" t="str">
        <f t="shared" si="1"/>
        <v>9na - Natalia Palladino</v>
      </c>
    </row>
    <row r="4" ht="22.5" customHeight="1">
      <c r="A4" s="126">
        <f t="shared" si="2"/>
        <v>3</v>
      </c>
      <c r="B4" s="31" t="s">
        <v>267</v>
      </c>
      <c r="C4" s="15" t="s">
        <v>265</v>
      </c>
      <c r="D4" s="15" t="s">
        <v>135</v>
      </c>
      <c r="E4" s="15" t="s">
        <v>262</v>
      </c>
      <c r="F4" s="125"/>
      <c r="G4" s="26" t="str">
        <f t="shared" si="1"/>
        <v>8va - Gaby Agos</v>
      </c>
    </row>
    <row r="5" ht="22.5" customHeight="1">
      <c r="A5" s="126">
        <f t="shared" si="2"/>
        <v>4</v>
      </c>
      <c r="B5" s="31" t="s">
        <v>268</v>
      </c>
      <c r="C5" s="15" t="s">
        <v>265</v>
      </c>
      <c r="D5" s="15" t="s">
        <v>112</v>
      </c>
      <c r="E5" s="15" t="s">
        <v>269</v>
      </c>
      <c r="F5" s="13">
        <v>46266.0</v>
      </c>
      <c r="G5" s="26" t="str">
        <f t="shared" si="1"/>
        <v>7ma - Rosana Lavagnino</v>
      </c>
    </row>
    <row r="6" ht="22.5" customHeight="1">
      <c r="A6" s="126">
        <f t="shared" si="2"/>
        <v>5</v>
      </c>
      <c r="B6" s="31" t="s">
        <v>270</v>
      </c>
      <c r="C6" s="15" t="s">
        <v>265</v>
      </c>
      <c r="D6" s="15" t="s">
        <v>112</v>
      </c>
      <c r="E6" s="15" t="s">
        <v>262</v>
      </c>
      <c r="F6" s="125"/>
      <c r="G6" s="26" t="str">
        <f t="shared" si="1"/>
        <v>7ma - Norma Rivero</v>
      </c>
    </row>
    <row r="7" ht="22.5" customHeight="1">
      <c r="A7" s="126">
        <f t="shared" si="2"/>
        <v>6</v>
      </c>
      <c r="B7" s="31" t="s">
        <v>273</v>
      </c>
      <c r="C7" s="15" t="s">
        <v>265</v>
      </c>
      <c r="D7" s="15" t="s">
        <v>64</v>
      </c>
      <c r="E7" s="15" t="s">
        <v>262</v>
      </c>
      <c r="F7" s="125"/>
      <c r="G7" s="26" t="str">
        <f t="shared" si="1"/>
        <v>5ta - Elena Molina</v>
      </c>
    </row>
    <row r="8" ht="22.5" customHeight="1">
      <c r="A8" s="126">
        <f t="shared" si="2"/>
        <v>7</v>
      </c>
      <c r="B8" s="31" t="s">
        <v>274</v>
      </c>
      <c r="C8" s="15" t="s">
        <v>265</v>
      </c>
      <c r="D8" s="15" t="s">
        <v>73</v>
      </c>
      <c r="E8" s="15" t="s">
        <v>262</v>
      </c>
      <c r="F8" s="125"/>
      <c r="G8" s="26" t="str">
        <f t="shared" si="1"/>
        <v>PS - Clarisa</v>
      </c>
    </row>
    <row r="9" ht="22.5" customHeight="1">
      <c r="A9" s="126">
        <f t="shared" si="2"/>
        <v>8</v>
      </c>
      <c r="B9" s="31" t="s">
        <v>276</v>
      </c>
      <c r="C9" s="15" t="s">
        <v>265</v>
      </c>
      <c r="D9" s="15" t="s">
        <v>87</v>
      </c>
      <c r="E9" s="15" t="s">
        <v>262</v>
      </c>
      <c r="F9" s="125"/>
      <c r="G9" s="26" t="str">
        <f t="shared" si="1"/>
        <v>6ta - Fernanda Largosta</v>
      </c>
    </row>
    <row r="10" ht="22.5" customHeight="1">
      <c r="A10" s="126">
        <f t="shared" si="2"/>
        <v>9</v>
      </c>
      <c r="B10" s="31" t="s">
        <v>277</v>
      </c>
      <c r="C10" s="15" t="s">
        <v>40</v>
      </c>
      <c r="D10" s="15"/>
      <c r="E10" s="15" t="s">
        <v>269</v>
      </c>
      <c r="F10" s="13">
        <v>46174.0</v>
      </c>
      <c r="G10" s="26" t="str">
        <f t="shared" si="1"/>
        <v>Pablo Bellemans - Sponsor</v>
      </c>
    </row>
    <row r="11" ht="22.5" customHeight="1">
      <c r="A11" s="126">
        <f t="shared" si="2"/>
        <v>10</v>
      </c>
      <c r="B11" s="31" t="s">
        <v>31</v>
      </c>
      <c r="C11" s="15" t="s">
        <v>32</v>
      </c>
      <c r="D11" s="15"/>
      <c r="E11" s="15" t="s">
        <v>262</v>
      </c>
      <c r="F11" s="13"/>
      <c r="G11" s="26" t="str">
        <f t="shared" si="1"/>
        <v>Malena - Caja especial</v>
      </c>
    </row>
  </sheetData>
  <dataValidations>
    <dataValidation type="list" allowBlank="1" sqref="E2:E11">
      <formula1>"Activo,Inactivo"</formula1>
    </dataValidation>
    <dataValidation type="custom" allowBlank="1" showDropDown="1" sqref="F2:F11">
      <formula1>OR(NOT(ISERROR(DATEVALUE(F2))), AND(ISNUMBER(F2), LEFT(CELL("format", F2))="D"))</formula1>
    </dataValidation>
    <dataValidation type="list" allowBlank="1" sqref="C2:C11">
      <formula1>"Coordinador,3er Tiempo,Sponsor,Otro,Caja especial"</formula1>
    </dataValidation>
    <dataValidation type="custom" allowBlank="1" showDropDown="1" sqref="A2:A11">
      <formula1>AND(ISNUMBER(A2),(NOT(OR(NOT(ISERROR(DATEVALUE(A2))), AND(ISNUMBER(A2), LEFT(CELL("format", A2))="D")))))</formula1>
    </dataValidation>
    <dataValidation type="list" allowBlank="1" sqref="D2:D11">
      <formula1>#REF!</formula1>
    </dataValidation>
    <dataValidation allowBlank="1" showDropDown="1" sqref="B2:B11"/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5.86"/>
    <col customWidth="1" min="3" max="3" width="15.86"/>
  </cols>
  <sheetData>
    <row r="1" ht="22.5" customHeight="1">
      <c r="A1" s="3" t="s">
        <v>201</v>
      </c>
      <c r="B1" s="3" t="s">
        <v>25</v>
      </c>
      <c r="C1" s="3" t="s">
        <v>63</v>
      </c>
    </row>
    <row r="2" ht="22.5" customHeight="1">
      <c r="A2" s="17">
        <v>1.0</v>
      </c>
      <c r="B2" s="31" t="s">
        <v>18</v>
      </c>
      <c r="C2" s="15" t="s">
        <v>262</v>
      </c>
    </row>
    <row r="3" ht="22.5" customHeight="1">
      <c r="A3" s="126">
        <f t="shared" ref="A3:A16" si="1">1+A2</f>
        <v>2</v>
      </c>
      <c r="B3" s="31" t="s">
        <v>101</v>
      </c>
      <c r="C3" s="15" t="s">
        <v>262</v>
      </c>
    </row>
    <row r="4" ht="22.5" customHeight="1">
      <c r="A4" s="126">
        <f t="shared" si="1"/>
        <v>3</v>
      </c>
      <c r="B4" s="24" t="s">
        <v>44</v>
      </c>
      <c r="C4" s="15" t="s">
        <v>262</v>
      </c>
    </row>
    <row r="5" ht="22.5" customHeight="1">
      <c r="A5" s="126">
        <f t="shared" si="1"/>
        <v>4</v>
      </c>
      <c r="B5" s="24" t="s">
        <v>48</v>
      </c>
      <c r="C5" s="15" t="s">
        <v>262</v>
      </c>
    </row>
    <row r="6" ht="22.5" customHeight="1">
      <c r="A6" s="126">
        <f t="shared" si="1"/>
        <v>5</v>
      </c>
      <c r="B6" s="127" t="s">
        <v>60</v>
      </c>
      <c r="C6" s="15" t="s">
        <v>262</v>
      </c>
    </row>
    <row r="7" ht="22.5" customHeight="1">
      <c r="A7" s="126">
        <f t="shared" si="1"/>
        <v>6</v>
      </c>
      <c r="B7" s="127" t="s">
        <v>65</v>
      </c>
      <c r="C7" s="15" t="s">
        <v>262</v>
      </c>
    </row>
    <row r="8" ht="22.5" customHeight="1">
      <c r="A8" s="126">
        <f t="shared" si="1"/>
        <v>7</v>
      </c>
      <c r="B8" s="31" t="s">
        <v>83</v>
      </c>
      <c r="C8" s="15" t="s">
        <v>262</v>
      </c>
    </row>
    <row r="9" ht="22.5" customHeight="1">
      <c r="A9" s="126">
        <f t="shared" si="1"/>
        <v>8</v>
      </c>
      <c r="B9" s="127" t="s">
        <v>77</v>
      </c>
      <c r="C9" s="15" t="s">
        <v>262</v>
      </c>
    </row>
    <row r="10" ht="22.5" customHeight="1">
      <c r="A10" s="126">
        <f t="shared" si="1"/>
        <v>9</v>
      </c>
      <c r="B10" s="127" t="s">
        <v>91</v>
      </c>
      <c r="C10" s="15" t="s">
        <v>262</v>
      </c>
    </row>
    <row r="11" ht="22.5" customHeight="1">
      <c r="A11" s="126">
        <f t="shared" si="1"/>
        <v>10</v>
      </c>
      <c r="B11" s="127" t="s">
        <v>92</v>
      </c>
      <c r="C11" s="15" t="s">
        <v>262</v>
      </c>
    </row>
    <row r="12" ht="22.5" customHeight="1">
      <c r="A12" s="126">
        <f t="shared" si="1"/>
        <v>11</v>
      </c>
      <c r="B12" s="127" t="s">
        <v>126</v>
      </c>
      <c r="C12" s="15" t="s">
        <v>262</v>
      </c>
    </row>
    <row r="13" ht="22.5" customHeight="1">
      <c r="A13" s="126">
        <f t="shared" si="1"/>
        <v>12</v>
      </c>
      <c r="B13" s="127" t="s">
        <v>34</v>
      </c>
      <c r="C13" s="15" t="s">
        <v>262</v>
      </c>
    </row>
    <row r="14" ht="22.5" customHeight="1">
      <c r="A14" s="126">
        <f t="shared" si="1"/>
        <v>13</v>
      </c>
      <c r="B14" s="127" t="s">
        <v>38</v>
      </c>
      <c r="C14" s="15" t="s">
        <v>262</v>
      </c>
    </row>
    <row r="15" ht="22.5" customHeight="1">
      <c r="A15" s="126">
        <f t="shared" si="1"/>
        <v>14</v>
      </c>
      <c r="B15" s="127" t="s">
        <v>193</v>
      </c>
      <c r="C15" s="15" t="s">
        <v>262</v>
      </c>
    </row>
    <row r="16" ht="22.5" customHeight="1">
      <c r="A16" s="126">
        <f t="shared" si="1"/>
        <v>15</v>
      </c>
      <c r="B16" s="127" t="s">
        <v>157</v>
      </c>
      <c r="C16" s="15" t="s">
        <v>262</v>
      </c>
    </row>
  </sheetData>
  <dataValidations>
    <dataValidation type="list" allowBlank="1" sqref="C2:C16">
      <formula1>"Activo,Inactivo"</formula1>
    </dataValidation>
    <dataValidation type="custom" allowBlank="1" showDropDown="1" sqref="A2:A16">
      <formula1>AND(ISNUMBER(A2),(NOT(OR(NOT(ISERROR(DATEVALUE(A2))), AND(ISNUMBER(A2), LEFT(CELL("format", A2))="D")))))</formula1>
    </dataValidation>
    <dataValidation allowBlank="1" showDropDown="1" sqref="B2:B16"/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5.86"/>
    <col customWidth="1" min="3" max="3" width="15.86"/>
  </cols>
  <sheetData>
    <row r="1" ht="22.5" customHeight="1">
      <c r="A1" s="3" t="s">
        <v>201</v>
      </c>
      <c r="B1" s="3" t="s">
        <v>25</v>
      </c>
      <c r="C1" s="3" t="s">
        <v>63</v>
      </c>
    </row>
    <row r="2" ht="22.5" customHeight="1">
      <c r="A2" s="17">
        <v>1.0</v>
      </c>
      <c r="B2" s="31" t="s">
        <v>42</v>
      </c>
      <c r="C2" s="15" t="s">
        <v>262</v>
      </c>
    </row>
    <row r="3" ht="22.5" customHeight="1">
      <c r="A3" s="126">
        <f t="shared" ref="A3:A5" si="1">1+A2</f>
        <v>2</v>
      </c>
      <c r="B3" s="31" t="s">
        <v>40</v>
      </c>
      <c r="C3" s="15" t="s">
        <v>262</v>
      </c>
    </row>
    <row r="4" ht="22.5" customHeight="1">
      <c r="A4" s="126">
        <f t="shared" si="1"/>
        <v>3</v>
      </c>
      <c r="B4" s="24" t="s">
        <v>286</v>
      </c>
      <c r="C4" s="15" t="s">
        <v>262</v>
      </c>
    </row>
    <row r="5" ht="22.5" customHeight="1">
      <c r="A5" s="126">
        <f t="shared" si="1"/>
        <v>4</v>
      </c>
      <c r="B5" s="24" t="s">
        <v>157</v>
      </c>
      <c r="C5" s="15" t="s">
        <v>262</v>
      </c>
    </row>
  </sheetData>
  <dataValidations>
    <dataValidation type="list" allowBlank="1" sqref="C2:C5">
      <formula1>"Activo,Inactivo"</formula1>
    </dataValidation>
    <dataValidation type="custom" allowBlank="1" showDropDown="1" sqref="A2:A5">
      <formula1>AND(ISNUMBER(A2),(NOT(OR(NOT(ISERROR(DATEVALUE(A2))), AND(ISNUMBER(A2), LEFT(CELL("format", A2))="D")))))</formula1>
    </dataValidation>
    <dataValidation allowBlank="1" showDropDown="1" sqref="B2:B5"/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25.86"/>
    <col customWidth="1" min="3" max="3" width="15.86"/>
  </cols>
  <sheetData>
    <row r="1" ht="22.5" customHeight="1">
      <c r="A1" s="3" t="s">
        <v>201</v>
      </c>
      <c r="B1" s="3" t="s">
        <v>25</v>
      </c>
      <c r="C1" s="3" t="s">
        <v>63</v>
      </c>
      <c r="D1" s="4" t="s">
        <v>289</v>
      </c>
    </row>
    <row r="2" ht="22.5" customHeight="1">
      <c r="A2" s="17" t="s">
        <v>73</v>
      </c>
      <c r="B2" s="31" t="s">
        <v>290</v>
      </c>
      <c r="C2" s="15" t="s">
        <v>262</v>
      </c>
    </row>
    <row r="3" ht="22.5" customHeight="1">
      <c r="A3" s="17" t="s">
        <v>64</v>
      </c>
      <c r="B3" s="31" t="s">
        <v>292</v>
      </c>
      <c r="C3" s="15" t="s">
        <v>262</v>
      </c>
    </row>
    <row r="4" ht="22.5" customHeight="1">
      <c r="A4" s="17" t="s">
        <v>87</v>
      </c>
      <c r="B4" s="31" t="s">
        <v>293</v>
      </c>
      <c r="C4" s="15" t="s">
        <v>262</v>
      </c>
    </row>
    <row r="5" ht="22.5" customHeight="1">
      <c r="A5" s="17" t="s">
        <v>112</v>
      </c>
      <c r="B5" s="24" t="s">
        <v>294</v>
      </c>
      <c r="C5" s="15" t="s">
        <v>262</v>
      </c>
    </row>
    <row r="6" ht="22.5" customHeight="1">
      <c r="A6" s="17" t="s">
        <v>135</v>
      </c>
      <c r="B6" s="31" t="s">
        <v>295</v>
      </c>
      <c r="C6" s="15" t="s">
        <v>262</v>
      </c>
    </row>
    <row r="7" ht="22.5" customHeight="1">
      <c r="A7" s="17" t="s">
        <v>147</v>
      </c>
      <c r="B7" s="31" t="s">
        <v>296</v>
      </c>
      <c r="C7" s="15" t="s">
        <v>262</v>
      </c>
    </row>
    <row r="8" ht="22.5" customHeight="1">
      <c r="A8" s="17" t="s">
        <v>207</v>
      </c>
      <c r="B8" s="31" t="s">
        <v>297</v>
      </c>
      <c r="C8" s="15" t="s">
        <v>262</v>
      </c>
    </row>
    <row r="9" ht="22.5" customHeight="1">
      <c r="A9" s="17" t="s">
        <v>210</v>
      </c>
      <c r="B9" s="31" t="s">
        <v>298</v>
      </c>
      <c r="C9" s="15" t="s">
        <v>262</v>
      </c>
    </row>
  </sheetData>
  <dataValidations>
    <dataValidation type="list" allowBlank="1" sqref="C2:C9">
      <formula1>"Activo,Inactivo"</formula1>
    </dataValidation>
    <dataValidation allowBlank="1" showDropDown="1" sqref="A2:B9"/>
  </dataValidations>
  <drawing r:id="rId1"/>
  <tableParts count="1">
    <tablePart r:id="rId3"/>
  </tableParts>
</worksheet>
</file>